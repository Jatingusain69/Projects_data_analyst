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A366B77B82ABF61/Documents/"/>
    </mc:Choice>
  </mc:AlternateContent>
  <xr:revisionPtr revIDLastSave="48" documentId="8_{ED3FB3F8-7181-42E8-939E-EECA5186F403}" xr6:coauthVersionLast="47" xr6:coauthVersionMax="47" xr10:uidLastSave="{BB26965E-1F49-43E5-84C1-2F66A03F5F3B}"/>
  <bookViews>
    <workbookView xWindow="-96" yWindow="0" windowWidth="15708" windowHeight="12336" tabRatio="500" firstSheet="2" activeTab="4" xr2:uid="{00000000-000D-0000-FFFF-FFFF00000000}"/>
  </bookViews>
  <sheets>
    <sheet name="All" sheetId="1" r:id="rId1"/>
    <sheet name="Assumptions" sheetId="2" r:id="rId2"/>
    <sheet name="Rate_Card" sheetId="3" r:id="rId3"/>
    <sheet name="Billing_Reconciliation" sheetId="4" r:id="rId4"/>
    <sheet name="Summar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5" l="1"/>
  <c r="C25" i="5"/>
  <c r="C24" i="5"/>
  <c r="A20" i="5"/>
  <c r="C20" i="5" s="1"/>
  <c r="C19" i="5"/>
  <c r="A19" i="5"/>
  <c r="A18" i="5"/>
  <c r="C18" i="5" s="1"/>
  <c r="A17" i="5"/>
  <c r="C17" i="5" s="1"/>
  <c r="C16" i="5"/>
  <c r="A16" i="5"/>
  <c r="B9" i="5"/>
  <c r="B2" i="5"/>
  <c r="P19" i="4"/>
  <c r="H19" i="4"/>
  <c r="F19" i="4"/>
  <c r="G19" i="4" s="1"/>
  <c r="I19" i="4" s="1"/>
  <c r="P18" i="4"/>
  <c r="H18" i="4"/>
  <c r="G18" i="4"/>
  <c r="I18" i="4" s="1"/>
  <c r="F18" i="4"/>
  <c r="P17" i="4"/>
  <c r="G17" i="4"/>
  <c r="H17" i="4" s="1"/>
  <c r="I17" i="4" s="1"/>
  <c r="F17" i="4"/>
  <c r="P16" i="4"/>
  <c r="H16" i="4"/>
  <c r="F16" i="4"/>
  <c r="G16" i="4" s="1"/>
  <c r="I16" i="4" s="1"/>
  <c r="P15" i="4"/>
  <c r="H15" i="4"/>
  <c r="G15" i="4"/>
  <c r="I15" i="4" s="1"/>
  <c r="F15" i="4"/>
  <c r="P14" i="4"/>
  <c r="F14" i="4"/>
  <c r="G14" i="4" s="1"/>
  <c r="P13" i="4"/>
  <c r="H13" i="4"/>
  <c r="F13" i="4"/>
  <c r="G13" i="4" s="1"/>
  <c r="I13" i="4" s="1"/>
  <c r="P12" i="4"/>
  <c r="H12" i="4"/>
  <c r="G12" i="4"/>
  <c r="I12" i="4" s="1"/>
  <c r="F12" i="4"/>
  <c r="P11" i="4"/>
  <c r="H11" i="4"/>
  <c r="F11" i="4"/>
  <c r="G11" i="4" s="1"/>
  <c r="I11" i="4" s="1"/>
  <c r="P10" i="4"/>
  <c r="H10" i="4"/>
  <c r="F10" i="4"/>
  <c r="G10" i="4" s="1"/>
  <c r="I10" i="4" s="1"/>
  <c r="P9" i="4"/>
  <c r="H9" i="4"/>
  <c r="G9" i="4"/>
  <c r="I9" i="4" s="1"/>
  <c r="F9" i="4"/>
  <c r="P8" i="4"/>
  <c r="F8" i="4"/>
  <c r="G8" i="4" s="1"/>
  <c r="P7" i="4"/>
  <c r="H7" i="4"/>
  <c r="F7" i="4"/>
  <c r="G7" i="4" s="1"/>
  <c r="I7" i="4" s="1"/>
  <c r="P6" i="4"/>
  <c r="H6" i="4"/>
  <c r="F6" i="4"/>
  <c r="G6" i="4" s="1"/>
  <c r="I6" i="4" s="1"/>
  <c r="P5" i="4"/>
  <c r="I5" i="4"/>
  <c r="H5" i="4"/>
  <c r="G5" i="4"/>
  <c r="F5" i="4"/>
  <c r="P4" i="4"/>
  <c r="H4" i="4"/>
  <c r="F4" i="4"/>
  <c r="G4" i="4" s="1"/>
  <c r="I4" i="4" s="1"/>
  <c r="P3" i="4"/>
  <c r="H3" i="4"/>
  <c r="G3" i="4"/>
  <c r="I3" i="4" s="1"/>
  <c r="F3" i="4"/>
  <c r="P2" i="4"/>
  <c r="F2" i="4"/>
  <c r="G2" i="4" s="1"/>
  <c r="J9" i="4" l="1"/>
  <c r="K9" i="4" s="1"/>
  <c r="H2" i="4"/>
  <c r="I2" i="4" s="1"/>
  <c r="K5" i="4"/>
  <c r="J13" i="4"/>
  <c r="K13" i="4" s="1"/>
  <c r="J10" i="4"/>
  <c r="K10" i="4"/>
  <c r="J18" i="4"/>
  <c r="K18" i="4" s="1"/>
  <c r="J7" i="4"/>
  <c r="K7" i="4" s="1"/>
  <c r="J11" i="4"/>
  <c r="K11" i="4" s="1"/>
  <c r="K3" i="4"/>
  <c r="J3" i="4"/>
  <c r="J4" i="4"/>
  <c r="K4" i="4"/>
  <c r="K15" i="4"/>
  <c r="J15" i="4"/>
  <c r="J19" i="4"/>
  <c r="K19" i="4"/>
  <c r="H8" i="4"/>
  <c r="I8" i="4" s="1"/>
  <c r="K17" i="4"/>
  <c r="J17" i="4"/>
  <c r="J6" i="4"/>
  <c r="K6" i="4" s="1"/>
  <c r="H14" i="4"/>
  <c r="I14" i="4" s="1"/>
  <c r="J12" i="4"/>
  <c r="K12" i="4" s="1"/>
  <c r="J16" i="4"/>
  <c r="K16" i="4"/>
  <c r="J5" i="4"/>
  <c r="M12" i="4" l="1"/>
  <c r="O12" i="4" s="1"/>
  <c r="Q12" i="4" s="1"/>
  <c r="N12" i="4"/>
  <c r="B26" i="5"/>
  <c r="D26" i="5" s="1"/>
  <c r="M6" i="4"/>
  <c r="O6" i="4" s="1"/>
  <c r="Q6" i="4" s="1"/>
  <c r="M11" i="4"/>
  <c r="O11" i="4" s="1"/>
  <c r="Q11" i="4" s="1"/>
  <c r="B17" i="5"/>
  <c r="D17" i="5" s="1"/>
  <c r="M18" i="4"/>
  <c r="O18" i="4" s="1"/>
  <c r="Q18" i="4" s="1"/>
  <c r="N18" i="4"/>
  <c r="J8" i="4"/>
  <c r="K8" i="4" s="1"/>
  <c r="N13" i="4"/>
  <c r="M13" i="4"/>
  <c r="O13" i="4" s="1"/>
  <c r="Q13" i="4" s="1"/>
  <c r="K2" i="4"/>
  <c r="J2" i="4"/>
  <c r="K14" i="4"/>
  <c r="J14" i="4"/>
  <c r="N7" i="4"/>
  <c r="M7" i="4"/>
  <c r="O7" i="4" s="1"/>
  <c r="Q7" i="4" s="1"/>
  <c r="B18" i="5"/>
  <c r="D18" i="5" s="1"/>
  <c r="M9" i="4"/>
  <c r="O9" i="4" s="1"/>
  <c r="Q9" i="4" s="1"/>
  <c r="N9" i="4"/>
  <c r="B16" i="5"/>
  <c r="D16" i="5" s="1"/>
  <c r="M3" i="4"/>
  <c r="O3" i="4" s="1"/>
  <c r="Q3" i="4" s="1"/>
  <c r="N3" i="4"/>
  <c r="N16" i="4"/>
  <c r="M16" i="4"/>
  <c r="O16" i="4" s="1"/>
  <c r="Q16" i="4" s="1"/>
  <c r="N19" i="4"/>
  <c r="M19" i="4"/>
  <c r="O19" i="4" s="1"/>
  <c r="Q19" i="4" s="1"/>
  <c r="M15" i="4"/>
  <c r="O15" i="4" s="1"/>
  <c r="Q15" i="4" s="1"/>
  <c r="M5" i="4"/>
  <c r="O5" i="4" s="1"/>
  <c r="Q5" i="4" s="1"/>
  <c r="M4" i="4"/>
  <c r="O4" i="4" s="1"/>
  <c r="Q4" i="4" s="1"/>
  <c r="B25" i="5"/>
  <c r="D25" i="5" s="1"/>
  <c r="N10" i="4"/>
  <c r="M10" i="4"/>
  <c r="O10" i="4" s="1"/>
  <c r="Q10" i="4" s="1"/>
  <c r="M17" i="4"/>
  <c r="O17" i="4" s="1"/>
  <c r="Q17" i="4" s="1"/>
  <c r="M8" i="4" l="1"/>
  <c r="O8" i="4" s="1"/>
  <c r="Q8" i="4" s="1"/>
  <c r="B20" i="5"/>
  <c r="D20" i="5" s="1"/>
  <c r="N4" i="4"/>
  <c r="N5" i="4"/>
  <c r="N15" i="4"/>
  <c r="N11" i="4"/>
  <c r="N17" i="4"/>
  <c r="N6" i="4"/>
  <c r="B24" i="5"/>
  <c r="D24" i="5" s="1"/>
  <c r="B8" i="5"/>
  <c r="B10" i="5" s="1"/>
  <c r="M2" i="4"/>
  <c r="B19" i="5"/>
  <c r="D19" i="5" s="1"/>
  <c r="M14" i="4"/>
  <c r="O14" i="4" s="1"/>
  <c r="Q14" i="4" s="1"/>
  <c r="O2" i="4" l="1"/>
  <c r="B12" i="5"/>
  <c r="B11" i="5"/>
  <c r="N14" i="4"/>
  <c r="N2" i="4"/>
  <c r="N8" i="4"/>
  <c r="B4" i="5" l="1"/>
  <c r="B3" i="5"/>
  <c r="Q2" i="4"/>
  <c r="B5" i="5"/>
  <c r="B6" i="5" l="1"/>
</calcChain>
</file>

<file path=xl/sharedStrings.xml><?xml version="1.0" encoding="utf-8"?>
<sst xmlns="http://schemas.openxmlformats.org/spreadsheetml/2006/main" count="147" uniqueCount="88">
  <si>
    <t>Contract Billing Calculator &amp; Cost Reconciliation</t>
  </si>
  <si>
    <t>Sheets:</t>
  </si>
  <si>
    <t>Assumptions</t>
  </si>
  <si>
    <t>GST rate</t>
  </si>
  <si>
    <t>Assumed flat 18% GST on services</t>
  </si>
  <si>
    <t>Match tolerance (Rs)</t>
  </si>
  <si>
    <t>Differences up to this amount are treated as rounding</t>
  </si>
  <si>
    <t>Service</t>
  </si>
  <si>
    <t>Unit</t>
  </si>
  <si>
    <t>Contract_Rate</t>
  </si>
  <si>
    <t>Discount_Threshold_Qty</t>
  </si>
  <si>
    <t>Discount_Pct</t>
  </si>
  <si>
    <t>Old_Rate (pre-revision)</t>
  </si>
  <si>
    <t>IT Support (per hour)</t>
  </si>
  <si>
    <t>Hour</t>
  </si>
  <si>
    <t>Cloud Storage (per TB)</t>
  </si>
  <si>
    <t>TB</t>
  </si>
  <si>
    <t>Data Entry (per 1000 records)</t>
  </si>
  <si>
    <t>1000 recs</t>
  </si>
  <si>
    <t>Report Generation (per report)</t>
  </si>
  <si>
    <t>Report</t>
  </si>
  <si>
    <t>Server Maintenance (per month)</t>
  </si>
  <si>
    <t>Month</t>
  </si>
  <si>
    <t>Bill_ID</t>
  </si>
  <si>
    <t>Period</t>
  </si>
  <si>
    <t>Client</t>
  </si>
  <si>
    <t>Qty</t>
  </si>
  <si>
    <t>Base_Amount</t>
  </si>
  <si>
    <t>Discount</t>
  </si>
  <si>
    <t>Taxable_Amount</t>
  </si>
  <si>
    <t>GST</t>
  </si>
  <si>
    <t>Expected_Total</t>
  </si>
  <si>
    <t>Invoice_Amount</t>
  </si>
  <si>
    <t>Variance</t>
  </si>
  <si>
    <t>Variance_%</t>
  </si>
  <si>
    <t>Status</t>
  </si>
  <si>
    <t>Expected_at_Old_Rate</t>
  </si>
  <si>
    <t>Suspected_Cause</t>
  </si>
  <si>
    <t>Remarks</t>
  </si>
  <si>
    <t>BILL-001</t>
  </si>
  <si>
    <t>Jul-2026</t>
  </si>
  <si>
    <t>Orion Retail</t>
  </si>
  <si>
    <t>BILL-002</t>
  </si>
  <si>
    <t>BILL-003</t>
  </si>
  <si>
    <t>BlueLeaf Pharma</t>
  </si>
  <si>
    <t>BILL-004</t>
  </si>
  <si>
    <t>BILL-005</t>
  </si>
  <si>
    <t>Kiran Logistics</t>
  </si>
  <si>
    <t>BILL-006</t>
  </si>
  <si>
    <t>BILL-007</t>
  </si>
  <si>
    <t>Aug-2026</t>
  </si>
  <si>
    <t>BILL-008</t>
  </si>
  <si>
    <t>BILL-009</t>
  </si>
  <si>
    <t>BILL-010</t>
  </si>
  <si>
    <t>BILL-011</t>
  </si>
  <si>
    <t>BILL-012</t>
  </si>
  <si>
    <t>BILL-013</t>
  </si>
  <si>
    <t>Sep-2026</t>
  </si>
  <si>
    <t>BILL-014</t>
  </si>
  <si>
    <t>BILL-015</t>
  </si>
  <si>
    <t>BILL-016</t>
  </si>
  <si>
    <t>BILL-017</t>
  </si>
  <si>
    <t>BILL-018</t>
  </si>
  <si>
    <t>Reconciliation Summary</t>
  </si>
  <si>
    <t>Total bill lines</t>
  </si>
  <si>
    <t>Matched</t>
  </si>
  <si>
    <t>Overbilled</t>
  </si>
  <si>
    <t>Underbilled</t>
  </si>
  <si>
    <t>Exception rate</t>
  </si>
  <si>
    <t>Total expected</t>
  </si>
  <si>
    <t>Total invoiced</t>
  </si>
  <si>
    <t>Net variance (invoiced - expected)</t>
  </si>
  <si>
    <t>Overbilled amount</t>
  </si>
  <si>
    <t>Underbilled amount</t>
  </si>
  <si>
    <t>Variance by service</t>
  </si>
  <si>
    <t>Expected</t>
  </si>
  <si>
    <t>Invoiced</t>
  </si>
  <si>
    <t>Variance by client</t>
  </si>
  <si>
    <r>
      <rPr>
        <b/>
        <sz val="10"/>
        <rFont val="Arial"/>
        <family val="2"/>
      </rPr>
      <t>Purpose:</t>
    </r>
    <r>
      <rPr>
        <sz val="10"/>
        <rFont val="Arial"/>
        <charset val="1"/>
      </rPr>
      <t xml:space="preserve"> calculate the expected charge for each billing line from contract terms, then reconcile against the amount actually invoiced.</t>
    </r>
  </si>
  <si>
    <r>
      <rPr>
        <b/>
        <sz val="10"/>
        <rFont val="Arial"/>
        <family val="2"/>
      </rPr>
      <t>Data:</t>
    </r>
    <r>
      <rPr>
        <sz val="10"/>
        <rFont val="Arial"/>
        <charset val="1"/>
      </rPr>
      <t xml:space="preserve"> SAMPLE / dummy contract rates and invoices created for this self-directed project.</t>
    </r>
  </si>
  <si>
    <r>
      <t xml:space="preserve">  </t>
    </r>
    <r>
      <rPr>
        <b/>
        <sz val="10"/>
        <rFont val="Arial"/>
        <family val="2"/>
      </rPr>
      <t>Assumptions-</t>
    </r>
    <r>
      <rPr>
        <sz val="10"/>
        <rFont val="Arial"/>
        <charset val="1"/>
      </rPr>
      <t xml:space="preserve"> GST rate and match tolerance (blue = editable inputs).</t>
    </r>
  </si>
  <si>
    <r>
      <t xml:space="preserve">  </t>
    </r>
    <r>
      <rPr>
        <b/>
        <sz val="10"/>
        <rFont val="Arial"/>
        <family val="2"/>
      </rPr>
      <t>Rate_Card-</t>
    </r>
    <r>
      <rPr>
        <sz val="10"/>
        <rFont val="Arial"/>
        <charset val="1"/>
      </rPr>
      <t xml:space="preserve"> contract rate, volume-discount threshold/percent, and an old rate (to detect stale-rate billing).</t>
    </r>
  </si>
  <si>
    <r>
      <t xml:space="preserve">  </t>
    </r>
    <r>
      <rPr>
        <b/>
        <sz val="10"/>
        <rFont val="Arial"/>
        <family val="2"/>
      </rPr>
      <t>Billing_Reconciliation-</t>
    </r>
    <r>
      <rPr>
        <sz val="10"/>
        <rFont val="Arial"/>
        <charset val="1"/>
      </rPr>
      <t xml:space="preserve"> Qty and Invoice_Amount are inputs (blue); everything else is formula.</t>
    </r>
  </si>
  <si>
    <r>
      <t xml:space="preserve">  </t>
    </r>
    <r>
      <rPr>
        <b/>
        <sz val="10"/>
        <rFont val="Arial"/>
        <family val="2"/>
      </rPr>
      <t xml:space="preserve">Summary- </t>
    </r>
    <r>
      <rPr>
        <sz val="10"/>
        <rFont val="Arial"/>
        <charset val="1"/>
      </rPr>
      <t>status counts, variance by service and by client.</t>
    </r>
  </si>
  <si>
    <r>
      <rPr>
        <b/>
        <sz val="10"/>
        <rFont val="Arial"/>
        <family val="2"/>
      </rPr>
      <t xml:space="preserve">Calculation: </t>
    </r>
    <r>
      <rPr>
        <sz val="10"/>
        <rFont val="Arial"/>
        <charset val="1"/>
      </rPr>
      <t>Base = Qty x Rate | Discount = Base x Disc% if Qty &gt; Threshold | Taxable = Base - Discount | GST = Taxable x GST rate | Expected = Taxable + GST.</t>
    </r>
  </si>
  <si>
    <r>
      <rPr>
        <b/>
        <sz val="10"/>
        <rFont val="Arial"/>
        <family val="2"/>
      </rPr>
      <t>Status:</t>
    </r>
    <r>
      <rPr>
        <sz val="10"/>
        <rFont val="Arial"/>
        <charset val="1"/>
      </rPr>
      <t xml:space="preserve"> Match if |Variance| &lt;= tolerance, else Overbilled / Underbilled. Suspected_Cause tests common error patterns automatically.</t>
    </r>
  </si>
  <si>
    <r>
      <rPr>
        <b/>
        <sz val="10"/>
        <rFont val="Arial"/>
        <family val="2"/>
      </rPr>
      <t>To add a bill:</t>
    </r>
    <r>
      <rPr>
        <sz val="10"/>
        <rFont val="Arial"/>
        <charset val="1"/>
      </rPr>
      <t xml:space="preserve"> add a row at the bottom of Billing_Reconciliation, copy the formulas down from the row above, enter Qty and Invoice_Amount.</t>
    </r>
  </si>
  <si>
    <r>
      <rPr>
        <b/>
        <sz val="10"/>
        <rFont val="Arial"/>
        <family val="2"/>
      </rPr>
      <t>Currency:</t>
    </r>
    <r>
      <rPr>
        <sz val="10"/>
        <rFont val="Arial"/>
        <charset val="1"/>
      </rPr>
      <t xml:space="preserve"> INR.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</si>
</sst>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₹#,##0.00;&quot;(₹&quot;#,##0.00\);\-"/>
    <numFmt numFmtId="166" formatCode="0.0%;\(0.0%\);\-"/>
  </numFmts>
  <fonts count="9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b/>
      <sz val="14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7" fillId="0" borderId="2" xfId="0" applyFont="1" applyBorder="1"/>
    <xf numFmtId="0" fontId="7" fillId="0" borderId="5" xfId="0" applyFont="1" applyBorder="1"/>
    <xf numFmtId="0" fontId="7" fillId="0" borderId="7" xfId="0" applyFont="1" applyBorder="1"/>
    <xf numFmtId="0" fontId="8" fillId="4" borderId="0" xfId="0" applyFont="1" applyFill="1"/>
    <xf numFmtId="0" fontId="2" fillId="0" borderId="1" xfId="0" applyFont="1" applyBorder="1"/>
    <xf numFmtId="164" fontId="3" fillId="2" borderId="1" xfId="0" applyNumberFormat="1" applyFont="1" applyFill="1" applyBorder="1"/>
    <xf numFmtId="0" fontId="1" fillId="0" borderId="1" xfId="0" applyFont="1" applyBorder="1"/>
    <xf numFmtId="165" fontId="3" fillId="2" borderId="1" xfId="0" applyNumberFormat="1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5" fontId="3" fillId="0" borderId="1" xfId="0" applyNumberFormat="1" applyFont="1" applyBorder="1"/>
    <xf numFmtId="9" fontId="3" fillId="0" borderId="1" xfId="0" applyNumberFormat="1" applyFont="1" applyBorder="1"/>
    <xf numFmtId="0" fontId="0" fillId="0" borderId="1" xfId="0" applyBorder="1"/>
    <xf numFmtId="165" fontId="1" fillId="0" borderId="1" xfId="0" applyNumberFormat="1" applyFont="1" applyBorder="1"/>
    <xf numFmtId="166" fontId="1" fillId="0" borderId="1" xfId="0" applyNumberFormat="1" applyFont="1" applyBorder="1"/>
    <xf numFmtId="164" fontId="1" fillId="0" borderId="1" xfId="0" applyNumberFormat="1" applyFont="1" applyBorder="1"/>
    <xf numFmtId="0" fontId="5" fillId="5" borderId="0" xfId="0" applyFont="1" applyFill="1"/>
  </cellXfs>
  <cellStyles count="1">
    <cellStyle name="Normal" xfId="0" builtinId="0"/>
  </cellStyles>
  <dxfs count="2">
    <dxf>
      <fill>
        <patternFill>
          <bgColor rgb="FFF8CBAD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zoomScaleNormal="100" workbookViewId="0">
      <selection activeCell="A18" sqref="A18"/>
    </sheetView>
  </sheetViews>
  <sheetFormatPr defaultColWidth="8.6640625" defaultRowHeight="14.4" x14ac:dyDescent="0.3"/>
  <cols>
    <col min="1" max="1" width="62.88671875" customWidth="1"/>
  </cols>
  <sheetData>
    <row r="1" spans="1:10" ht="17.399999999999999" x14ac:dyDescent="0.3">
      <c r="A1" s="25" t="s">
        <v>0</v>
      </c>
    </row>
    <row r="2" spans="1:10" ht="15" thickBot="1" x14ac:dyDescent="0.35"/>
    <row r="3" spans="1:10" x14ac:dyDescent="0.3">
      <c r="A3" s="9" t="s">
        <v>78</v>
      </c>
      <c r="B3" s="3"/>
      <c r="C3" s="3"/>
      <c r="D3" s="3"/>
      <c r="E3" s="3"/>
      <c r="F3" s="3"/>
      <c r="G3" s="3"/>
      <c r="H3" s="3"/>
      <c r="I3" s="3"/>
      <c r="J3" s="4"/>
    </row>
    <row r="4" spans="1:10" x14ac:dyDescent="0.3">
      <c r="A4" s="10" t="s">
        <v>79</v>
      </c>
      <c r="B4" s="2"/>
      <c r="C4" s="2"/>
      <c r="D4" s="2"/>
      <c r="E4" s="2"/>
      <c r="F4" s="2"/>
      <c r="G4" s="2"/>
      <c r="H4" s="2"/>
      <c r="I4" s="2"/>
      <c r="J4" s="6"/>
    </row>
    <row r="5" spans="1:10" x14ac:dyDescent="0.3">
      <c r="A5" s="5"/>
      <c r="B5" s="2"/>
      <c r="C5" s="2"/>
      <c r="D5" s="2"/>
      <c r="E5" s="2"/>
      <c r="F5" s="2"/>
      <c r="G5" s="2"/>
      <c r="H5" s="2"/>
      <c r="I5" s="2"/>
      <c r="J5" s="6"/>
    </row>
    <row r="6" spans="1:10" x14ac:dyDescent="0.3">
      <c r="A6" s="5" t="s">
        <v>1</v>
      </c>
      <c r="B6" s="2"/>
      <c r="C6" s="2"/>
      <c r="D6" s="2"/>
      <c r="E6" s="2"/>
      <c r="F6" s="2"/>
      <c r="G6" s="2"/>
      <c r="H6" s="2"/>
      <c r="I6" s="2"/>
      <c r="J6" s="6"/>
    </row>
    <row r="7" spans="1:10" x14ac:dyDescent="0.3">
      <c r="A7" s="10" t="s">
        <v>80</v>
      </c>
      <c r="B7" s="2"/>
      <c r="C7" s="2"/>
      <c r="D7" s="2"/>
      <c r="E7" s="2"/>
      <c r="F7" s="2"/>
      <c r="G7" s="2"/>
      <c r="H7" s="2"/>
      <c r="I7" s="2"/>
      <c r="J7" s="6"/>
    </row>
    <row r="8" spans="1:10" x14ac:dyDescent="0.3">
      <c r="A8" s="10" t="s">
        <v>81</v>
      </c>
      <c r="B8" s="2"/>
      <c r="C8" s="2"/>
      <c r="D8" s="2"/>
      <c r="E8" s="2"/>
      <c r="F8" s="2"/>
      <c r="G8" s="2"/>
      <c r="H8" s="2"/>
      <c r="I8" s="2"/>
      <c r="J8" s="6"/>
    </row>
    <row r="9" spans="1:10" x14ac:dyDescent="0.3">
      <c r="A9" s="10" t="s">
        <v>82</v>
      </c>
      <c r="B9" s="2"/>
      <c r="C9" s="2"/>
      <c r="D9" s="2"/>
      <c r="E9" s="2"/>
      <c r="F9" s="2"/>
      <c r="G9" s="2"/>
      <c r="H9" s="2"/>
      <c r="I9" s="2"/>
      <c r="J9" s="6"/>
    </row>
    <row r="10" spans="1:10" x14ac:dyDescent="0.3">
      <c r="A10" s="10" t="s">
        <v>83</v>
      </c>
      <c r="B10" s="2"/>
      <c r="C10" s="2"/>
      <c r="D10" s="2"/>
      <c r="E10" s="2"/>
      <c r="F10" s="2"/>
      <c r="G10" s="2"/>
      <c r="H10" s="2"/>
      <c r="I10" s="2"/>
      <c r="J10" s="6"/>
    </row>
    <row r="11" spans="1:10" x14ac:dyDescent="0.3">
      <c r="A11" s="5"/>
      <c r="B11" s="2"/>
      <c r="C11" s="2"/>
      <c r="D11" s="2"/>
      <c r="E11" s="2"/>
      <c r="F11" s="2"/>
      <c r="G11" s="2"/>
      <c r="H11" s="2"/>
      <c r="I11" s="2"/>
      <c r="J11" s="6"/>
    </row>
    <row r="12" spans="1:10" x14ac:dyDescent="0.3">
      <c r="A12" s="10" t="s">
        <v>84</v>
      </c>
      <c r="B12" s="2"/>
      <c r="C12" s="2"/>
      <c r="D12" s="2"/>
      <c r="E12" s="2"/>
      <c r="F12" s="2"/>
      <c r="G12" s="2"/>
      <c r="H12" s="2"/>
      <c r="I12" s="2"/>
      <c r="J12" s="6"/>
    </row>
    <row r="13" spans="1:10" x14ac:dyDescent="0.3">
      <c r="A13" s="10" t="s">
        <v>85</v>
      </c>
      <c r="B13" s="2"/>
      <c r="C13" s="2"/>
      <c r="D13" s="2"/>
      <c r="E13" s="2"/>
      <c r="F13" s="2"/>
      <c r="G13" s="2"/>
      <c r="H13" s="2"/>
      <c r="I13" s="2"/>
      <c r="J13" s="6"/>
    </row>
    <row r="14" spans="1:10" x14ac:dyDescent="0.3">
      <c r="A14" s="10" t="s">
        <v>86</v>
      </c>
      <c r="B14" s="2"/>
      <c r="C14" s="2"/>
      <c r="D14" s="2"/>
      <c r="E14" s="2"/>
      <c r="F14" s="2"/>
      <c r="G14" s="2"/>
      <c r="H14" s="2"/>
      <c r="I14" s="2"/>
      <c r="J14" s="6"/>
    </row>
    <row r="15" spans="1:10" ht="15" thickBot="1" x14ac:dyDescent="0.35">
      <c r="A15" s="11" t="s">
        <v>87</v>
      </c>
      <c r="B15" s="7"/>
      <c r="C15" s="7"/>
      <c r="D15" s="7"/>
      <c r="E15" s="7"/>
      <c r="F15" s="7"/>
      <c r="G15" s="7"/>
      <c r="H15" s="7"/>
      <c r="I15" s="7"/>
      <c r="J15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zoomScaleNormal="100" workbookViewId="0">
      <selection activeCell="B10" sqref="B10"/>
    </sheetView>
  </sheetViews>
  <sheetFormatPr defaultColWidth="8.6640625" defaultRowHeight="14.4" x14ac:dyDescent="0.3"/>
  <cols>
    <col min="1" max="1" width="24" customWidth="1"/>
    <col min="2" max="2" width="14" customWidth="1"/>
    <col min="3" max="3" width="55" customWidth="1"/>
  </cols>
  <sheetData>
    <row r="1" spans="1:3" ht="15.6" x14ac:dyDescent="0.3">
      <c r="A1" s="12" t="s">
        <v>2</v>
      </c>
    </row>
    <row r="3" spans="1:3" x14ac:dyDescent="0.3">
      <c r="A3" s="13" t="s">
        <v>3</v>
      </c>
      <c r="B3" s="14">
        <v>0.18</v>
      </c>
      <c r="C3" s="15" t="s">
        <v>4</v>
      </c>
    </row>
    <row r="4" spans="1:3" x14ac:dyDescent="0.3">
      <c r="A4" s="13" t="s">
        <v>5</v>
      </c>
      <c r="B4" s="16">
        <v>1</v>
      </c>
      <c r="C4" s="15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zoomScaleNormal="100" workbookViewId="0">
      <pane ySplit="1" topLeftCell="A2" activePane="bottomLeft" state="frozen"/>
      <selection pane="bottomLeft" sqref="A1:F6"/>
    </sheetView>
  </sheetViews>
  <sheetFormatPr defaultColWidth="8.6640625" defaultRowHeight="14.4" x14ac:dyDescent="0.3"/>
  <cols>
    <col min="1" max="1" width="34" customWidth="1"/>
    <col min="2" max="2" width="12" customWidth="1"/>
    <col min="3" max="3" width="15" customWidth="1"/>
    <col min="4" max="4" width="18" customWidth="1"/>
    <col min="5" max="5" width="14" customWidth="1"/>
    <col min="6" max="6" width="18" customWidth="1"/>
  </cols>
  <sheetData>
    <row r="1" spans="1:6" ht="31.5" customHeight="1" x14ac:dyDescent="0.3">
      <c r="A1" s="17" t="s">
        <v>7</v>
      </c>
      <c r="B1" s="17" t="s">
        <v>8</v>
      </c>
      <c r="C1" s="17" t="s">
        <v>9</v>
      </c>
      <c r="D1" s="17" t="s">
        <v>10</v>
      </c>
      <c r="E1" s="17" t="s">
        <v>11</v>
      </c>
      <c r="F1" s="17" t="s">
        <v>12</v>
      </c>
    </row>
    <row r="2" spans="1:6" x14ac:dyDescent="0.3">
      <c r="A2" s="18" t="s">
        <v>13</v>
      </c>
      <c r="B2" s="18" t="s">
        <v>14</v>
      </c>
      <c r="C2" s="19">
        <v>1200</v>
      </c>
      <c r="D2" s="18">
        <v>100</v>
      </c>
      <c r="E2" s="20">
        <v>0.05</v>
      </c>
      <c r="F2" s="19">
        <v>1000</v>
      </c>
    </row>
    <row r="3" spans="1:6" x14ac:dyDescent="0.3">
      <c r="A3" s="18" t="s">
        <v>15</v>
      </c>
      <c r="B3" s="18" t="s">
        <v>16</v>
      </c>
      <c r="C3" s="19">
        <v>4500</v>
      </c>
      <c r="D3" s="18">
        <v>10</v>
      </c>
      <c r="E3" s="20">
        <v>0.08</v>
      </c>
      <c r="F3" s="19">
        <v>4000</v>
      </c>
    </row>
    <row r="4" spans="1:6" x14ac:dyDescent="0.3">
      <c r="A4" s="18" t="s">
        <v>17</v>
      </c>
      <c r="B4" s="18" t="s">
        <v>18</v>
      </c>
      <c r="C4" s="19">
        <v>650</v>
      </c>
      <c r="D4" s="18">
        <v>50</v>
      </c>
      <c r="E4" s="20">
        <v>0.05</v>
      </c>
      <c r="F4" s="19">
        <v>600</v>
      </c>
    </row>
    <row r="5" spans="1:6" x14ac:dyDescent="0.3">
      <c r="A5" s="18" t="s">
        <v>19</v>
      </c>
      <c r="B5" s="18" t="s">
        <v>20</v>
      </c>
      <c r="C5" s="19">
        <v>900</v>
      </c>
      <c r="D5" s="18">
        <v>20</v>
      </c>
      <c r="E5" s="20">
        <v>0.1</v>
      </c>
      <c r="F5" s="19">
        <v>850</v>
      </c>
    </row>
    <row r="6" spans="1:6" x14ac:dyDescent="0.3">
      <c r="A6" s="18" t="s">
        <v>21</v>
      </c>
      <c r="B6" s="18" t="s">
        <v>22</v>
      </c>
      <c r="C6" s="19">
        <v>15000</v>
      </c>
      <c r="D6" s="18">
        <v>3</v>
      </c>
      <c r="E6" s="20">
        <v>0.05</v>
      </c>
      <c r="F6" s="19">
        <v>14000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9"/>
  <sheetViews>
    <sheetView zoomScaleNormal="100" workbookViewId="0">
      <pane xSplit="4" ySplit="1" topLeftCell="R2" activePane="bottomRight" state="frozen"/>
      <selection pane="topRight" activeCell="E1" sqref="E1"/>
      <selection pane="bottomLeft" activeCell="A2" sqref="A2"/>
      <selection pane="bottomRight" activeCell="T3" sqref="T3"/>
    </sheetView>
  </sheetViews>
  <sheetFormatPr defaultColWidth="8.6640625" defaultRowHeight="14.4" x14ac:dyDescent="0.3"/>
  <cols>
    <col min="1" max="2" width="10" customWidth="1"/>
    <col min="3" max="3" width="18" customWidth="1"/>
    <col min="4" max="4" width="32" customWidth="1"/>
    <col min="5" max="5" width="7" customWidth="1"/>
    <col min="6" max="6" width="13" customWidth="1"/>
    <col min="7" max="7" width="14" customWidth="1"/>
    <col min="8" max="8" width="12" customWidth="1"/>
    <col min="9" max="9" width="14" customWidth="1"/>
    <col min="10" max="10" width="12" customWidth="1"/>
    <col min="11" max="12" width="15" customWidth="1"/>
    <col min="13" max="13" width="13" customWidth="1"/>
    <col min="14" max="14" width="10" customWidth="1"/>
    <col min="15" max="15" width="12" customWidth="1"/>
    <col min="16" max="16" width="16" customWidth="1"/>
    <col min="17" max="18" width="26" customWidth="1"/>
  </cols>
  <sheetData>
    <row r="1" spans="1:19" ht="31.5" customHeight="1" x14ac:dyDescent="0.3">
      <c r="A1" s="17" t="s">
        <v>23</v>
      </c>
      <c r="B1" s="17" t="s">
        <v>24</v>
      </c>
      <c r="C1" s="17" t="s">
        <v>25</v>
      </c>
      <c r="D1" s="17" t="s">
        <v>7</v>
      </c>
      <c r="E1" s="17" t="s">
        <v>26</v>
      </c>
      <c r="F1" s="17" t="s">
        <v>9</v>
      </c>
      <c r="G1" s="17" t="s">
        <v>27</v>
      </c>
      <c r="H1" s="17" t="s">
        <v>28</v>
      </c>
      <c r="I1" s="17" t="s">
        <v>29</v>
      </c>
      <c r="J1" s="17" t="s">
        <v>30</v>
      </c>
      <c r="K1" s="17" t="s">
        <v>31</v>
      </c>
      <c r="L1" s="17" t="s">
        <v>32</v>
      </c>
      <c r="M1" s="17" t="s">
        <v>33</v>
      </c>
      <c r="N1" s="17" t="s">
        <v>34</v>
      </c>
      <c r="O1" s="17" t="s">
        <v>35</v>
      </c>
      <c r="P1" s="17" t="s">
        <v>36</v>
      </c>
      <c r="Q1" s="17" t="s">
        <v>37</v>
      </c>
      <c r="R1" s="17" t="s">
        <v>38</v>
      </c>
      <c r="S1" s="2"/>
    </row>
    <row r="2" spans="1:19" x14ac:dyDescent="0.3">
      <c r="A2" s="18" t="s">
        <v>39</v>
      </c>
      <c r="B2" s="18" t="s">
        <v>40</v>
      </c>
      <c r="C2" s="18" t="s">
        <v>41</v>
      </c>
      <c r="D2" s="18" t="s">
        <v>19</v>
      </c>
      <c r="E2" s="18">
        <v>25</v>
      </c>
      <c r="F2" s="22">
        <f>INDEX(Rate_Card!$C$2:$C$6,MATCH(D2,Rate_Card!$A$2:$A$6,0))</f>
        <v>900</v>
      </c>
      <c r="G2" s="22">
        <f t="shared" ref="G2:G19" si="0">E2*F2</f>
        <v>22500</v>
      </c>
      <c r="H2" s="22">
        <f>IF(E2&gt;INDEX(Rate_Card!$D$2:$D$6,MATCH(D2,Rate_Card!$A$2:$A$6,0)),G2*INDEX(Rate_Card!$E$2:$E$6,MATCH(D2,Rate_Card!$A$2:$A$6,0)),0)</f>
        <v>2250</v>
      </c>
      <c r="I2" s="22">
        <f t="shared" ref="I2:I19" si="1">G2-H2</f>
        <v>20250</v>
      </c>
      <c r="J2" s="22">
        <f>I2*Assumptions!$B$3</f>
        <v>3645</v>
      </c>
      <c r="K2" s="22">
        <f t="shared" ref="K2:K19" si="2">ROUND(I2+J2,2)</f>
        <v>23895</v>
      </c>
      <c r="L2" s="19">
        <v>26550</v>
      </c>
      <c r="M2" s="22">
        <f t="shared" ref="M2:M19" si="3">ROUND(L2-K2,2)</f>
        <v>2655</v>
      </c>
      <c r="N2" s="23">
        <f t="shared" ref="N2:N19" si="4">IF(K2=0,0,M2/K2)</f>
        <v>0.1111111111111111</v>
      </c>
      <c r="O2" s="15" t="str">
        <f>IF(ABS(M2)&lt;=Assumptions!$B$4,"Match",IF(M2&gt;0,"Overbilled","Underbilled"))</f>
        <v>Overbilled</v>
      </c>
      <c r="P2" s="22">
        <f>ROUND((E2*INDEX(Rate_Card!$F$2:$F$6,MATCH(D2,Rate_Card!$A$2:$A$6,0))-IF(E2&gt;INDEX(Rate_Card!$D$2:$D$6,MATCH(D2,Rate_Card!$A$2:$A$6,0)),E2*INDEX(Rate_Card!$F$2:$F$6,MATCH(D2,Rate_Card!$A$2:$A$6,0))*INDEX(Rate_Card!$E$2:$E$6,MATCH(D2,Rate_Card!$A$2:$A$6,0)),0))*(1+Assumptions!$B$3),2)</f>
        <v>22567.5</v>
      </c>
      <c r="Q2" s="15" t="str">
        <f>IF(O2="Match","",IF(ABS(L2-I2)&lt;=Assumptions!$B$4,"GST not applied",IF(ABS(L2-G2*(1+Assumptions!$B$3))&lt;=Assumptions!$B$4,"Volume discount not applied",IF(ABS(L2-P2)&lt;=Assumptions!$B$4,"Old rate used","Review: qty / rate / other"))))</f>
        <v>Volume discount not applied</v>
      </c>
      <c r="R2" s="21"/>
      <c r="S2" s="2"/>
    </row>
    <row r="3" spans="1:19" x14ac:dyDescent="0.3">
      <c r="A3" s="18" t="s">
        <v>42</v>
      </c>
      <c r="B3" s="18" t="s">
        <v>40</v>
      </c>
      <c r="C3" s="18" t="s">
        <v>41</v>
      </c>
      <c r="D3" s="18" t="s">
        <v>21</v>
      </c>
      <c r="E3" s="18">
        <v>2</v>
      </c>
      <c r="F3" s="22">
        <f>INDEX(Rate_Card!$C$2:$C$6,MATCH(D3,Rate_Card!$A$2:$A$6,0))</f>
        <v>15000</v>
      </c>
      <c r="G3" s="22">
        <f t="shared" si="0"/>
        <v>30000</v>
      </c>
      <c r="H3" s="22">
        <f>IF(E3&gt;INDEX(Rate_Card!$D$2:$D$6,MATCH(D3,Rate_Card!$A$2:$A$6,0)),G3*INDEX(Rate_Card!$E$2:$E$6,MATCH(D3,Rate_Card!$A$2:$A$6,0)),0)</f>
        <v>0</v>
      </c>
      <c r="I3" s="22">
        <f t="shared" si="1"/>
        <v>30000</v>
      </c>
      <c r="J3" s="22">
        <f>I3*Assumptions!$B$3</f>
        <v>5400</v>
      </c>
      <c r="K3" s="22">
        <f t="shared" si="2"/>
        <v>35400</v>
      </c>
      <c r="L3" s="19">
        <v>33040</v>
      </c>
      <c r="M3" s="22">
        <f t="shared" si="3"/>
        <v>-2360</v>
      </c>
      <c r="N3" s="23">
        <f t="shared" si="4"/>
        <v>-6.6666666666666666E-2</v>
      </c>
      <c r="O3" s="15" t="str">
        <f>IF(ABS(M3)&lt;=Assumptions!$B$4,"Match",IF(M3&gt;0,"Overbilled","Underbilled"))</f>
        <v>Underbilled</v>
      </c>
      <c r="P3" s="22">
        <f>ROUND((E3*INDEX(Rate_Card!$F$2:$F$6,MATCH(D3,Rate_Card!$A$2:$A$6,0))-IF(E3&gt;INDEX(Rate_Card!$D$2:$D$6,MATCH(D3,Rate_Card!$A$2:$A$6,0)),E3*INDEX(Rate_Card!$F$2:$F$6,MATCH(D3,Rate_Card!$A$2:$A$6,0))*INDEX(Rate_Card!$E$2:$E$6,MATCH(D3,Rate_Card!$A$2:$A$6,0)),0))*(1+Assumptions!$B$3),2)</f>
        <v>33040</v>
      </c>
      <c r="Q3" s="15" t="str">
        <f>IF(O3="Match","",IF(ABS(L3-I3)&lt;=Assumptions!$B$4,"GST not applied",IF(ABS(L3-G3*(1+Assumptions!$B$3))&lt;=Assumptions!$B$4,"Volume discount not applied",IF(ABS(L3-P3)&lt;=Assumptions!$B$4,"Old rate used","Review: qty / rate / other"))))</f>
        <v>Old rate used</v>
      </c>
      <c r="R3" s="21"/>
      <c r="S3" s="2"/>
    </row>
    <row r="4" spans="1:19" x14ac:dyDescent="0.3">
      <c r="A4" s="18" t="s">
        <v>43</v>
      </c>
      <c r="B4" s="18" t="s">
        <v>40</v>
      </c>
      <c r="C4" s="18" t="s">
        <v>44</v>
      </c>
      <c r="D4" s="18" t="s">
        <v>15</v>
      </c>
      <c r="E4" s="18">
        <v>5</v>
      </c>
      <c r="F4" s="22">
        <f>INDEX(Rate_Card!$C$2:$C$6,MATCH(D4,Rate_Card!$A$2:$A$6,0))</f>
        <v>4500</v>
      </c>
      <c r="G4" s="22">
        <f t="shared" si="0"/>
        <v>22500</v>
      </c>
      <c r="H4" s="22">
        <f>IF(E4&gt;INDEX(Rate_Card!$D$2:$D$6,MATCH(D4,Rate_Card!$A$2:$A$6,0)),G4*INDEX(Rate_Card!$E$2:$E$6,MATCH(D4,Rate_Card!$A$2:$A$6,0)),0)</f>
        <v>0</v>
      </c>
      <c r="I4" s="22">
        <f t="shared" si="1"/>
        <v>22500</v>
      </c>
      <c r="J4" s="22">
        <f>I4*Assumptions!$B$3</f>
        <v>4050</v>
      </c>
      <c r="K4" s="22">
        <f t="shared" si="2"/>
        <v>26550</v>
      </c>
      <c r="L4" s="19">
        <v>26550</v>
      </c>
      <c r="M4" s="22">
        <f t="shared" si="3"/>
        <v>0</v>
      </c>
      <c r="N4" s="23">
        <f t="shared" si="4"/>
        <v>0</v>
      </c>
      <c r="O4" s="15" t="str">
        <f>IF(ABS(M4)&lt;=Assumptions!$B$4,"Match",IF(M4&gt;0,"Overbilled","Underbilled"))</f>
        <v>Match</v>
      </c>
      <c r="P4" s="22">
        <f>ROUND((E4*INDEX(Rate_Card!$F$2:$F$6,MATCH(D4,Rate_Card!$A$2:$A$6,0))-IF(E4&gt;INDEX(Rate_Card!$D$2:$D$6,MATCH(D4,Rate_Card!$A$2:$A$6,0)),E4*INDEX(Rate_Card!$F$2:$F$6,MATCH(D4,Rate_Card!$A$2:$A$6,0))*INDEX(Rate_Card!$E$2:$E$6,MATCH(D4,Rate_Card!$A$2:$A$6,0)),0))*(1+Assumptions!$B$3),2)</f>
        <v>23600</v>
      </c>
      <c r="Q4" s="15" t="str">
        <f>IF(O4="Match","",IF(ABS(L4-I4)&lt;=Assumptions!$B$4,"GST not applied",IF(ABS(L4-G4*(1+Assumptions!$B$3))&lt;=Assumptions!$B$4,"Volume discount not applied",IF(ABS(L4-P4)&lt;=Assumptions!$B$4,"Old rate used","Review: qty / rate / other"))))</f>
        <v/>
      </c>
      <c r="R4" s="21"/>
      <c r="S4" s="2"/>
    </row>
    <row r="5" spans="1:19" x14ac:dyDescent="0.3">
      <c r="A5" s="18" t="s">
        <v>45</v>
      </c>
      <c r="B5" s="18" t="s">
        <v>40</v>
      </c>
      <c r="C5" s="18" t="s">
        <v>44</v>
      </c>
      <c r="D5" s="18" t="s">
        <v>19</v>
      </c>
      <c r="E5" s="18">
        <v>2</v>
      </c>
      <c r="F5" s="22">
        <f>INDEX(Rate_Card!$C$2:$C$6,MATCH(D5,Rate_Card!$A$2:$A$6,0))</f>
        <v>900</v>
      </c>
      <c r="G5" s="22">
        <f t="shared" si="0"/>
        <v>1800</v>
      </c>
      <c r="H5" s="22">
        <f>IF(E5&gt;INDEX(Rate_Card!$D$2:$D$6,MATCH(D5,Rate_Card!$A$2:$A$6,0)),G5*INDEX(Rate_Card!$E$2:$E$6,MATCH(D5,Rate_Card!$A$2:$A$6,0)),0)</f>
        <v>0</v>
      </c>
      <c r="I5" s="22">
        <f t="shared" si="1"/>
        <v>1800</v>
      </c>
      <c r="J5" s="22">
        <f>I5*Assumptions!$B$3</f>
        <v>324</v>
      </c>
      <c r="K5" s="22">
        <f t="shared" si="2"/>
        <v>2124</v>
      </c>
      <c r="L5" s="19">
        <v>2124</v>
      </c>
      <c r="M5" s="22">
        <f t="shared" si="3"/>
        <v>0</v>
      </c>
      <c r="N5" s="23">
        <f t="shared" si="4"/>
        <v>0</v>
      </c>
      <c r="O5" s="15" t="str">
        <f>IF(ABS(M5)&lt;=Assumptions!$B$4,"Match",IF(M5&gt;0,"Overbilled","Underbilled"))</f>
        <v>Match</v>
      </c>
      <c r="P5" s="22">
        <f>ROUND((E5*INDEX(Rate_Card!$F$2:$F$6,MATCH(D5,Rate_Card!$A$2:$A$6,0))-IF(E5&gt;INDEX(Rate_Card!$D$2:$D$6,MATCH(D5,Rate_Card!$A$2:$A$6,0)),E5*INDEX(Rate_Card!$F$2:$F$6,MATCH(D5,Rate_Card!$A$2:$A$6,0))*INDEX(Rate_Card!$E$2:$E$6,MATCH(D5,Rate_Card!$A$2:$A$6,0)),0))*(1+Assumptions!$B$3),2)</f>
        <v>2006</v>
      </c>
      <c r="Q5" s="15" t="str">
        <f>IF(O5="Match","",IF(ABS(L5-I5)&lt;=Assumptions!$B$4,"GST not applied",IF(ABS(L5-G5*(1+Assumptions!$B$3))&lt;=Assumptions!$B$4,"Volume discount not applied",IF(ABS(L5-P5)&lt;=Assumptions!$B$4,"Old rate used","Review: qty / rate / other"))))</f>
        <v/>
      </c>
      <c r="R5" s="21"/>
      <c r="S5" s="2"/>
    </row>
    <row r="6" spans="1:19" x14ac:dyDescent="0.3">
      <c r="A6" s="18" t="s">
        <v>46</v>
      </c>
      <c r="B6" s="18" t="s">
        <v>40</v>
      </c>
      <c r="C6" s="18" t="s">
        <v>47</v>
      </c>
      <c r="D6" s="18" t="s">
        <v>19</v>
      </c>
      <c r="E6" s="18">
        <v>5</v>
      </c>
      <c r="F6" s="22">
        <f>INDEX(Rate_Card!$C$2:$C$6,MATCH(D6,Rate_Card!$A$2:$A$6,0))</f>
        <v>900</v>
      </c>
      <c r="G6" s="22">
        <f t="shared" si="0"/>
        <v>4500</v>
      </c>
      <c r="H6" s="22">
        <f>IF(E6&gt;INDEX(Rate_Card!$D$2:$D$6,MATCH(D6,Rate_Card!$A$2:$A$6,0)),G6*INDEX(Rate_Card!$E$2:$E$6,MATCH(D6,Rate_Card!$A$2:$A$6,0)),0)</f>
        <v>0</v>
      </c>
      <c r="I6" s="22">
        <f t="shared" si="1"/>
        <v>4500</v>
      </c>
      <c r="J6" s="22">
        <f>I6*Assumptions!$B$3</f>
        <v>810</v>
      </c>
      <c r="K6" s="22">
        <f t="shared" si="2"/>
        <v>5310</v>
      </c>
      <c r="L6" s="19">
        <v>4500</v>
      </c>
      <c r="M6" s="22">
        <f t="shared" si="3"/>
        <v>-810</v>
      </c>
      <c r="N6" s="23">
        <f t="shared" si="4"/>
        <v>-0.15254237288135594</v>
      </c>
      <c r="O6" s="15" t="str">
        <f>IF(ABS(M6)&lt;=Assumptions!$B$4,"Match",IF(M6&gt;0,"Overbilled","Underbilled"))</f>
        <v>Underbilled</v>
      </c>
      <c r="P6" s="22">
        <f>ROUND((E6*INDEX(Rate_Card!$F$2:$F$6,MATCH(D6,Rate_Card!$A$2:$A$6,0))-IF(E6&gt;INDEX(Rate_Card!$D$2:$D$6,MATCH(D6,Rate_Card!$A$2:$A$6,0)),E6*INDEX(Rate_Card!$F$2:$F$6,MATCH(D6,Rate_Card!$A$2:$A$6,0))*INDEX(Rate_Card!$E$2:$E$6,MATCH(D6,Rate_Card!$A$2:$A$6,0)),0))*(1+Assumptions!$B$3),2)</f>
        <v>5015</v>
      </c>
      <c r="Q6" s="15" t="str">
        <f>IF(O6="Match","",IF(ABS(L6-I6)&lt;=Assumptions!$B$4,"GST not applied",IF(ABS(L6-G6*(1+Assumptions!$B$3))&lt;=Assumptions!$B$4,"Volume discount not applied",IF(ABS(L6-P6)&lt;=Assumptions!$B$4,"Old rate used","Review: qty / rate / other"))))</f>
        <v>GST not applied</v>
      </c>
      <c r="R6" s="21"/>
      <c r="S6" s="2"/>
    </row>
    <row r="7" spans="1:19" x14ac:dyDescent="0.3">
      <c r="A7" s="18" t="s">
        <v>48</v>
      </c>
      <c r="B7" s="18" t="s">
        <v>40</v>
      </c>
      <c r="C7" s="18" t="s">
        <v>47</v>
      </c>
      <c r="D7" s="18" t="s">
        <v>17</v>
      </c>
      <c r="E7" s="18">
        <v>8</v>
      </c>
      <c r="F7" s="22">
        <f>INDEX(Rate_Card!$C$2:$C$6,MATCH(D7,Rate_Card!$A$2:$A$6,0))</f>
        <v>650</v>
      </c>
      <c r="G7" s="22">
        <f t="shared" si="0"/>
        <v>5200</v>
      </c>
      <c r="H7" s="22">
        <f>IF(E7&gt;INDEX(Rate_Card!$D$2:$D$6,MATCH(D7,Rate_Card!$A$2:$A$6,0)),G7*INDEX(Rate_Card!$E$2:$E$6,MATCH(D7,Rate_Card!$A$2:$A$6,0)),0)</f>
        <v>0</v>
      </c>
      <c r="I7" s="22">
        <f t="shared" si="1"/>
        <v>5200</v>
      </c>
      <c r="J7" s="22">
        <f>I7*Assumptions!$B$3</f>
        <v>936</v>
      </c>
      <c r="K7" s="22">
        <f t="shared" si="2"/>
        <v>6136</v>
      </c>
      <c r="L7" s="19">
        <v>6136</v>
      </c>
      <c r="M7" s="22">
        <f t="shared" si="3"/>
        <v>0</v>
      </c>
      <c r="N7" s="23">
        <f t="shared" si="4"/>
        <v>0</v>
      </c>
      <c r="O7" s="15" t="str">
        <f>IF(ABS(M7)&lt;=Assumptions!$B$4,"Match",IF(M7&gt;0,"Overbilled","Underbilled"))</f>
        <v>Match</v>
      </c>
      <c r="P7" s="22">
        <f>ROUND((E7*INDEX(Rate_Card!$F$2:$F$6,MATCH(D7,Rate_Card!$A$2:$A$6,0))-IF(E7&gt;INDEX(Rate_Card!$D$2:$D$6,MATCH(D7,Rate_Card!$A$2:$A$6,0)),E7*INDEX(Rate_Card!$F$2:$F$6,MATCH(D7,Rate_Card!$A$2:$A$6,0))*INDEX(Rate_Card!$E$2:$E$6,MATCH(D7,Rate_Card!$A$2:$A$6,0)),0))*(1+Assumptions!$B$3),2)</f>
        <v>5664</v>
      </c>
      <c r="Q7" s="15" t="str">
        <f>IF(O7="Match","",IF(ABS(L7-I7)&lt;=Assumptions!$B$4,"GST not applied",IF(ABS(L7-G7*(1+Assumptions!$B$3))&lt;=Assumptions!$B$4,"Volume discount not applied",IF(ABS(L7-P7)&lt;=Assumptions!$B$4,"Old rate used","Review: qty / rate / other"))))</f>
        <v/>
      </c>
      <c r="R7" s="21"/>
      <c r="S7" s="2"/>
    </row>
    <row r="8" spans="1:19" x14ac:dyDescent="0.3">
      <c r="A8" s="18" t="s">
        <v>49</v>
      </c>
      <c r="B8" s="18" t="s">
        <v>50</v>
      </c>
      <c r="C8" s="18" t="s">
        <v>41</v>
      </c>
      <c r="D8" s="18" t="s">
        <v>21</v>
      </c>
      <c r="E8" s="18">
        <v>4</v>
      </c>
      <c r="F8" s="22">
        <f>INDEX(Rate_Card!$C$2:$C$6,MATCH(D8,Rate_Card!$A$2:$A$6,0))</f>
        <v>15000</v>
      </c>
      <c r="G8" s="22">
        <f t="shared" si="0"/>
        <v>60000</v>
      </c>
      <c r="H8" s="22">
        <f>IF(E8&gt;INDEX(Rate_Card!$D$2:$D$6,MATCH(D8,Rate_Card!$A$2:$A$6,0)),G8*INDEX(Rate_Card!$E$2:$E$6,MATCH(D8,Rate_Card!$A$2:$A$6,0)),0)</f>
        <v>3000</v>
      </c>
      <c r="I8" s="22">
        <f t="shared" si="1"/>
        <v>57000</v>
      </c>
      <c r="J8" s="22">
        <f>I8*Assumptions!$B$3</f>
        <v>10260</v>
      </c>
      <c r="K8" s="22">
        <f t="shared" si="2"/>
        <v>67260</v>
      </c>
      <c r="L8" s="19">
        <v>67260.399999999994</v>
      </c>
      <c r="M8" s="22">
        <f t="shared" si="3"/>
        <v>0.4</v>
      </c>
      <c r="N8" s="23">
        <f t="shared" si="4"/>
        <v>5.9470710674992569E-6</v>
      </c>
      <c r="O8" s="15" t="str">
        <f>IF(ABS(M8)&lt;=Assumptions!$B$4,"Match",IF(M8&gt;0,"Overbilled","Underbilled"))</f>
        <v>Match</v>
      </c>
      <c r="P8" s="22">
        <f>ROUND((E8*INDEX(Rate_Card!$F$2:$F$6,MATCH(D8,Rate_Card!$A$2:$A$6,0))-IF(E8&gt;INDEX(Rate_Card!$D$2:$D$6,MATCH(D8,Rate_Card!$A$2:$A$6,0)),E8*INDEX(Rate_Card!$F$2:$F$6,MATCH(D8,Rate_Card!$A$2:$A$6,0))*INDEX(Rate_Card!$E$2:$E$6,MATCH(D8,Rate_Card!$A$2:$A$6,0)),0))*(1+Assumptions!$B$3),2)</f>
        <v>62776</v>
      </c>
      <c r="Q8" s="15" t="str">
        <f>IF(O8="Match","",IF(ABS(L8-I8)&lt;=Assumptions!$B$4,"GST not applied",IF(ABS(L8-G8*(1+Assumptions!$B$3))&lt;=Assumptions!$B$4,"Volume discount not applied",IF(ABS(L8-P8)&lt;=Assumptions!$B$4,"Old rate used","Review: qty / rate / other"))))</f>
        <v/>
      </c>
      <c r="R8" s="21"/>
      <c r="S8" s="2"/>
    </row>
    <row r="9" spans="1:19" x14ac:dyDescent="0.3">
      <c r="A9" s="18" t="s">
        <v>51</v>
      </c>
      <c r="B9" s="18" t="s">
        <v>50</v>
      </c>
      <c r="C9" s="18" t="s">
        <v>41</v>
      </c>
      <c r="D9" s="18" t="s">
        <v>13</v>
      </c>
      <c r="E9" s="18">
        <v>60</v>
      </c>
      <c r="F9" s="22">
        <f>INDEX(Rate_Card!$C$2:$C$6,MATCH(D9,Rate_Card!$A$2:$A$6,0))</f>
        <v>1200</v>
      </c>
      <c r="G9" s="22">
        <f t="shared" si="0"/>
        <v>72000</v>
      </c>
      <c r="H9" s="22">
        <f>IF(E9&gt;INDEX(Rate_Card!$D$2:$D$6,MATCH(D9,Rate_Card!$A$2:$A$6,0)),G9*INDEX(Rate_Card!$E$2:$E$6,MATCH(D9,Rate_Card!$A$2:$A$6,0)),0)</f>
        <v>0</v>
      </c>
      <c r="I9" s="22">
        <f t="shared" si="1"/>
        <v>72000</v>
      </c>
      <c r="J9" s="22">
        <f>I9*Assumptions!$B$3</f>
        <v>12960</v>
      </c>
      <c r="K9" s="22">
        <f t="shared" si="2"/>
        <v>84960</v>
      </c>
      <c r="L9" s="19">
        <v>84960</v>
      </c>
      <c r="M9" s="22">
        <f t="shared" si="3"/>
        <v>0</v>
      </c>
      <c r="N9" s="23">
        <f t="shared" si="4"/>
        <v>0</v>
      </c>
      <c r="O9" s="15" t="str">
        <f>IF(ABS(M9)&lt;=Assumptions!$B$4,"Match",IF(M9&gt;0,"Overbilled","Underbilled"))</f>
        <v>Match</v>
      </c>
      <c r="P9" s="22">
        <f>ROUND((E9*INDEX(Rate_Card!$F$2:$F$6,MATCH(D9,Rate_Card!$A$2:$A$6,0))-IF(E9&gt;INDEX(Rate_Card!$D$2:$D$6,MATCH(D9,Rate_Card!$A$2:$A$6,0)),E9*INDEX(Rate_Card!$F$2:$F$6,MATCH(D9,Rate_Card!$A$2:$A$6,0))*INDEX(Rate_Card!$E$2:$E$6,MATCH(D9,Rate_Card!$A$2:$A$6,0)),0))*(1+Assumptions!$B$3),2)</f>
        <v>70800</v>
      </c>
      <c r="Q9" s="15" t="str">
        <f>IF(O9="Match","",IF(ABS(L9-I9)&lt;=Assumptions!$B$4,"GST not applied",IF(ABS(L9-G9*(1+Assumptions!$B$3))&lt;=Assumptions!$B$4,"Volume discount not applied",IF(ABS(L9-P9)&lt;=Assumptions!$B$4,"Old rate used","Review: qty / rate / other"))))</f>
        <v/>
      </c>
      <c r="R9" s="21"/>
      <c r="S9" s="2"/>
    </row>
    <row r="10" spans="1:19" x14ac:dyDescent="0.3">
      <c r="A10" s="18" t="s">
        <v>52</v>
      </c>
      <c r="B10" s="18" t="s">
        <v>50</v>
      </c>
      <c r="C10" s="18" t="s">
        <v>44</v>
      </c>
      <c r="D10" s="18" t="s">
        <v>21</v>
      </c>
      <c r="E10" s="18">
        <v>1</v>
      </c>
      <c r="F10" s="22">
        <f>INDEX(Rate_Card!$C$2:$C$6,MATCH(D10,Rate_Card!$A$2:$A$6,0))</f>
        <v>15000</v>
      </c>
      <c r="G10" s="22">
        <f t="shared" si="0"/>
        <v>15000</v>
      </c>
      <c r="H10" s="22">
        <f>IF(E10&gt;INDEX(Rate_Card!$D$2:$D$6,MATCH(D10,Rate_Card!$A$2:$A$6,0)),G10*INDEX(Rate_Card!$E$2:$E$6,MATCH(D10,Rate_Card!$A$2:$A$6,0)),0)</f>
        <v>0</v>
      </c>
      <c r="I10" s="22">
        <f t="shared" si="1"/>
        <v>15000</v>
      </c>
      <c r="J10" s="22">
        <f>I10*Assumptions!$B$3</f>
        <v>2700</v>
      </c>
      <c r="K10" s="22">
        <f t="shared" si="2"/>
        <v>17700</v>
      </c>
      <c r="L10" s="19">
        <v>17700</v>
      </c>
      <c r="M10" s="22">
        <f t="shared" si="3"/>
        <v>0</v>
      </c>
      <c r="N10" s="23">
        <f t="shared" si="4"/>
        <v>0</v>
      </c>
      <c r="O10" s="15" t="str">
        <f>IF(ABS(M10)&lt;=Assumptions!$B$4,"Match",IF(M10&gt;0,"Overbilled","Underbilled"))</f>
        <v>Match</v>
      </c>
      <c r="P10" s="22">
        <f>ROUND((E10*INDEX(Rate_Card!$F$2:$F$6,MATCH(D10,Rate_Card!$A$2:$A$6,0))-IF(E10&gt;INDEX(Rate_Card!$D$2:$D$6,MATCH(D10,Rate_Card!$A$2:$A$6,0)),E10*INDEX(Rate_Card!$F$2:$F$6,MATCH(D10,Rate_Card!$A$2:$A$6,0))*INDEX(Rate_Card!$E$2:$E$6,MATCH(D10,Rate_Card!$A$2:$A$6,0)),0))*(1+Assumptions!$B$3),2)</f>
        <v>16520</v>
      </c>
      <c r="Q10" s="15" t="str">
        <f>IF(O10="Match","",IF(ABS(L10-I10)&lt;=Assumptions!$B$4,"GST not applied",IF(ABS(L10-G10*(1+Assumptions!$B$3))&lt;=Assumptions!$B$4,"Volume discount not applied",IF(ABS(L10-P10)&lt;=Assumptions!$B$4,"Old rate used","Review: qty / rate / other"))))</f>
        <v/>
      </c>
      <c r="R10" s="21"/>
      <c r="S10" s="2"/>
    </row>
    <row r="11" spans="1:19" x14ac:dyDescent="0.3">
      <c r="A11" s="18" t="s">
        <v>53</v>
      </c>
      <c r="B11" s="18" t="s">
        <v>50</v>
      </c>
      <c r="C11" s="18" t="s">
        <v>44</v>
      </c>
      <c r="D11" s="18" t="s">
        <v>15</v>
      </c>
      <c r="E11" s="18">
        <v>2</v>
      </c>
      <c r="F11" s="22">
        <f>INDEX(Rate_Card!$C$2:$C$6,MATCH(D11,Rate_Card!$A$2:$A$6,0))</f>
        <v>4500</v>
      </c>
      <c r="G11" s="22">
        <f t="shared" si="0"/>
        <v>9000</v>
      </c>
      <c r="H11" s="22">
        <f>IF(E11&gt;INDEX(Rate_Card!$D$2:$D$6,MATCH(D11,Rate_Card!$A$2:$A$6,0)),G11*INDEX(Rate_Card!$E$2:$E$6,MATCH(D11,Rate_Card!$A$2:$A$6,0)),0)</f>
        <v>0</v>
      </c>
      <c r="I11" s="22">
        <f t="shared" si="1"/>
        <v>9000</v>
      </c>
      <c r="J11" s="22">
        <f>I11*Assumptions!$B$3</f>
        <v>1620</v>
      </c>
      <c r="K11" s="22">
        <f t="shared" si="2"/>
        <v>10620</v>
      </c>
      <c r="L11" s="19">
        <v>26550</v>
      </c>
      <c r="M11" s="22">
        <f t="shared" si="3"/>
        <v>15930</v>
      </c>
      <c r="N11" s="23">
        <f t="shared" si="4"/>
        <v>1.5</v>
      </c>
      <c r="O11" s="15" t="str">
        <f>IF(ABS(M11)&lt;=Assumptions!$B$4,"Match",IF(M11&gt;0,"Overbilled","Underbilled"))</f>
        <v>Overbilled</v>
      </c>
      <c r="P11" s="22">
        <f>ROUND((E11*INDEX(Rate_Card!$F$2:$F$6,MATCH(D11,Rate_Card!$A$2:$A$6,0))-IF(E11&gt;INDEX(Rate_Card!$D$2:$D$6,MATCH(D11,Rate_Card!$A$2:$A$6,0)),E11*INDEX(Rate_Card!$F$2:$F$6,MATCH(D11,Rate_Card!$A$2:$A$6,0))*INDEX(Rate_Card!$E$2:$E$6,MATCH(D11,Rate_Card!$A$2:$A$6,0)),0))*(1+Assumptions!$B$3),2)</f>
        <v>9440</v>
      </c>
      <c r="Q11" s="15" t="str">
        <f>IF(O11="Match","",IF(ABS(L11-I11)&lt;=Assumptions!$B$4,"GST not applied",IF(ABS(L11-G11*(1+Assumptions!$B$3))&lt;=Assumptions!$B$4,"Volume discount not applied",IF(ABS(L11-P11)&lt;=Assumptions!$B$4,"Old rate used","Review: qty / rate / other"))))</f>
        <v>Review: qty / rate / other</v>
      </c>
      <c r="R11" s="21"/>
      <c r="S11" s="2"/>
    </row>
    <row r="12" spans="1:19" x14ac:dyDescent="0.3">
      <c r="A12" s="18" t="s">
        <v>54</v>
      </c>
      <c r="B12" s="18" t="s">
        <v>50</v>
      </c>
      <c r="C12" s="18" t="s">
        <v>47</v>
      </c>
      <c r="D12" s="18" t="s">
        <v>13</v>
      </c>
      <c r="E12" s="18">
        <v>12</v>
      </c>
      <c r="F12" s="22">
        <f>INDEX(Rate_Card!$C$2:$C$6,MATCH(D12,Rate_Card!$A$2:$A$6,0))</f>
        <v>1200</v>
      </c>
      <c r="G12" s="22">
        <f t="shared" si="0"/>
        <v>14400</v>
      </c>
      <c r="H12" s="22">
        <f>IF(E12&gt;INDEX(Rate_Card!$D$2:$D$6,MATCH(D12,Rate_Card!$A$2:$A$6,0)),G12*INDEX(Rate_Card!$E$2:$E$6,MATCH(D12,Rate_Card!$A$2:$A$6,0)),0)</f>
        <v>0</v>
      </c>
      <c r="I12" s="22">
        <f t="shared" si="1"/>
        <v>14400</v>
      </c>
      <c r="J12" s="22">
        <f>I12*Assumptions!$B$3</f>
        <v>2592</v>
      </c>
      <c r="K12" s="22">
        <f t="shared" si="2"/>
        <v>16992</v>
      </c>
      <c r="L12" s="19">
        <v>16992</v>
      </c>
      <c r="M12" s="22">
        <f t="shared" si="3"/>
        <v>0</v>
      </c>
      <c r="N12" s="23">
        <f t="shared" si="4"/>
        <v>0</v>
      </c>
      <c r="O12" s="15" t="str">
        <f>IF(ABS(M12)&lt;=Assumptions!$B$4,"Match",IF(M12&gt;0,"Overbilled","Underbilled"))</f>
        <v>Match</v>
      </c>
      <c r="P12" s="22">
        <f>ROUND((E12*INDEX(Rate_Card!$F$2:$F$6,MATCH(D12,Rate_Card!$A$2:$A$6,0))-IF(E12&gt;INDEX(Rate_Card!$D$2:$D$6,MATCH(D12,Rate_Card!$A$2:$A$6,0)),E12*INDEX(Rate_Card!$F$2:$F$6,MATCH(D12,Rate_Card!$A$2:$A$6,0))*INDEX(Rate_Card!$E$2:$E$6,MATCH(D12,Rate_Card!$A$2:$A$6,0)),0))*(1+Assumptions!$B$3),2)</f>
        <v>14160</v>
      </c>
      <c r="Q12" s="15" t="str">
        <f>IF(O12="Match","",IF(ABS(L12-I12)&lt;=Assumptions!$B$4,"GST not applied",IF(ABS(L12-G12*(1+Assumptions!$B$3))&lt;=Assumptions!$B$4,"Volume discount not applied",IF(ABS(L12-P12)&lt;=Assumptions!$B$4,"Old rate used","Review: qty / rate / other"))))</f>
        <v/>
      </c>
      <c r="R12" s="21"/>
      <c r="S12" s="2"/>
    </row>
    <row r="13" spans="1:19" x14ac:dyDescent="0.3">
      <c r="A13" s="18" t="s">
        <v>55</v>
      </c>
      <c r="B13" s="18" t="s">
        <v>50</v>
      </c>
      <c r="C13" s="18" t="s">
        <v>47</v>
      </c>
      <c r="D13" s="18" t="s">
        <v>21</v>
      </c>
      <c r="E13" s="18">
        <v>2</v>
      </c>
      <c r="F13" s="22">
        <f>INDEX(Rate_Card!$C$2:$C$6,MATCH(D13,Rate_Card!$A$2:$A$6,0))</f>
        <v>15000</v>
      </c>
      <c r="G13" s="22">
        <f t="shared" si="0"/>
        <v>30000</v>
      </c>
      <c r="H13" s="22">
        <f>IF(E13&gt;INDEX(Rate_Card!$D$2:$D$6,MATCH(D13,Rate_Card!$A$2:$A$6,0)),G13*INDEX(Rate_Card!$E$2:$E$6,MATCH(D13,Rate_Card!$A$2:$A$6,0)),0)</f>
        <v>0</v>
      </c>
      <c r="I13" s="22">
        <f t="shared" si="1"/>
        <v>30000</v>
      </c>
      <c r="J13" s="22">
        <f>I13*Assumptions!$B$3</f>
        <v>5400</v>
      </c>
      <c r="K13" s="22">
        <f t="shared" si="2"/>
        <v>35400</v>
      </c>
      <c r="L13" s="19">
        <v>35399.699999999997</v>
      </c>
      <c r="M13" s="22">
        <f t="shared" si="3"/>
        <v>-0.3</v>
      </c>
      <c r="N13" s="23">
        <f t="shared" si="4"/>
        <v>-8.4745762711864406E-6</v>
      </c>
      <c r="O13" s="15" t="str">
        <f>IF(ABS(M13)&lt;=Assumptions!$B$4,"Match",IF(M13&gt;0,"Overbilled","Underbilled"))</f>
        <v>Match</v>
      </c>
      <c r="P13" s="22">
        <f>ROUND((E13*INDEX(Rate_Card!$F$2:$F$6,MATCH(D13,Rate_Card!$A$2:$A$6,0))-IF(E13&gt;INDEX(Rate_Card!$D$2:$D$6,MATCH(D13,Rate_Card!$A$2:$A$6,0)),E13*INDEX(Rate_Card!$F$2:$F$6,MATCH(D13,Rate_Card!$A$2:$A$6,0))*INDEX(Rate_Card!$E$2:$E$6,MATCH(D13,Rate_Card!$A$2:$A$6,0)),0))*(1+Assumptions!$B$3),2)</f>
        <v>33040</v>
      </c>
      <c r="Q13" s="15" t="str">
        <f>IF(O13="Match","",IF(ABS(L13-I13)&lt;=Assumptions!$B$4,"GST not applied",IF(ABS(L13-G13*(1+Assumptions!$B$3))&lt;=Assumptions!$B$4,"Volume discount not applied",IF(ABS(L13-P13)&lt;=Assumptions!$B$4,"Old rate used","Review: qty / rate / other"))))</f>
        <v/>
      </c>
      <c r="R13" s="21"/>
      <c r="S13" s="2"/>
    </row>
    <row r="14" spans="1:19" x14ac:dyDescent="0.3">
      <c r="A14" s="18" t="s">
        <v>56</v>
      </c>
      <c r="B14" s="18" t="s">
        <v>57</v>
      </c>
      <c r="C14" s="18" t="s">
        <v>41</v>
      </c>
      <c r="D14" s="18" t="s">
        <v>21</v>
      </c>
      <c r="E14" s="18">
        <v>4</v>
      </c>
      <c r="F14" s="22">
        <f>INDEX(Rate_Card!$C$2:$C$6,MATCH(D14,Rate_Card!$A$2:$A$6,0))</f>
        <v>15000</v>
      </c>
      <c r="G14" s="22">
        <f t="shared" si="0"/>
        <v>60000</v>
      </c>
      <c r="H14" s="22">
        <f>IF(E14&gt;INDEX(Rate_Card!$D$2:$D$6,MATCH(D14,Rate_Card!$A$2:$A$6,0)),G14*INDEX(Rate_Card!$E$2:$E$6,MATCH(D14,Rate_Card!$A$2:$A$6,0)),0)</f>
        <v>3000</v>
      </c>
      <c r="I14" s="22">
        <f t="shared" si="1"/>
        <v>57000</v>
      </c>
      <c r="J14" s="22">
        <f>I14*Assumptions!$B$3</f>
        <v>10260</v>
      </c>
      <c r="K14" s="22">
        <f t="shared" si="2"/>
        <v>67260</v>
      </c>
      <c r="L14" s="19">
        <v>67260</v>
      </c>
      <c r="M14" s="22">
        <f t="shared" si="3"/>
        <v>0</v>
      </c>
      <c r="N14" s="23">
        <f t="shared" si="4"/>
        <v>0</v>
      </c>
      <c r="O14" s="15" t="str">
        <f>IF(ABS(M14)&lt;=Assumptions!$B$4,"Match",IF(M14&gt;0,"Overbilled","Underbilled"))</f>
        <v>Match</v>
      </c>
      <c r="P14" s="22">
        <f>ROUND((E14*INDEX(Rate_Card!$F$2:$F$6,MATCH(D14,Rate_Card!$A$2:$A$6,0))-IF(E14&gt;INDEX(Rate_Card!$D$2:$D$6,MATCH(D14,Rate_Card!$A$2:$A$6,0)),E14*INDEX(Rate_Card!$F$2:$F$6,MATCH(D14,Rate_Card!$A$2:$A$6,0))*INDEX(Rate_Card!$E$2:$E$6,MATCH(D14,Rate_Card!$A$2:$A$6,0)),0))*(1+Assumptions!$B$3),2)</f>
        <v>62776</v>
      </c>
      <c r="Q14" s="15" t="str">
        <f>IF(O14="Match","",IF(ABS(L14-I14)&lt;=Assumptions!$B$4,"GST not applied",IF(ABS(L14-G14*(1+Assumptions!$B$3))&lt;=Assumptions!$B$4,"Volume discount not applied",IF(ABS(L14-P14)&lt;=Assumptions!$B$4,"Old rate used","Review: qty / rate / other"))))</f>
        <v/>
      </c>
      <c r="R14" s="21"/>
      <c r="S14" s="2"/>
    </row>
    <row r="15" spans="1:19" x14ac:dyDescent="0.3">
      <c r="A15" s="18" t="s">
        <v>58</v>
      </c>
      <c r="B15" s="18" t="s">
        <v>57</v>
      </c>
      <c r="C15" s="18" t="s">
        <v>41</v>
      </c>
      <c r="D15" s="18" t="s">
        <v>13</v>
      </c>
      <c r="E15" s="18">
        <v>40</v>
      </c>
      <c r="F15" s="22">
        <f>INDEX(Rate_Card!$C$2:$C$6,MATCH(D15,Rate_Card!$A$2:$A$6,0))</f>
        <v>1200</v>
      </c>
      <c r="G15" s="22">
        <f t="shared" si="0"/>
        <v>48000</v>
      </c>
      <c r="H15" s="22">
        <f>IF(E15&gt;INDEX(Rate_Card!$D$2:$D$6,MATCH(D15,Rate_Card!$A$2:$A$6,0)),G15*INDEX(Rate_Card!$E$2:$E$6,MATCH(D15,Rate_Card!$A$2:$A$6,0)),0)</f>
        <v>0</v>
      </c>
      <c r="I15" s="22">
        <f t="shared" si="1"/>
        <v>48000</v>
      </c>
      <c r="J15" s="22">
        <f>I15*Assumptions!$B$3</f>
        <v>8640</v>
      </c>
      <c r="K15" s="22">
        <f t="shared" si="2"/>
        <v>56640</v>
      </c>
      <c r="L15" s="19">
        <v>48000</v>
      </c>
      <c r="M15" s="22">
        <f t="shared" si="3"/>
        <v>-8640</v>
      </c>
      <c r="N15" s="23">
        <f t="shared" si="4"/>
        <v>-0.15254237288135594</v>
      </c>
      <c r="O15" s="15" t="str">
        <f>IF(ABS(M15)&lt;=Assumptions!$B$4,"Match",IF(M15&gt;0,"Overbilled","Underbilled"))</f>
        <v>Underbilled</v>
      </c>
      <c r="P15" s="22">
        <f>ROUND((E15*INDEX(Rate_Card!$F$2:$F$6,MATCH(D15,Rate_Card!$A$2:$A$6,0))-IF(E15&gt;INDEX(Rate_Card!$D$2:$D$6,MATCH(D15,Rate_Card!$A$2:$A$6,0)),E15*INDEX(Rate_Card!$F$2:$F$6,MATCH(D15,Rate_Card!$A$2:$A$6,0))*INDEX(Rate_Card!$E$2:$E$6,MATCH(D15,Rate_Card!$A$2:$A$6,0)),0))*(1+Assumptions!$B$3),2)</f>
        <v>47200</v>
      </c>
      <c r="Q15" s="15" t="str">
        <f>IF(O15="Match","",IF(ABS(L15-I15)&lt;=Assumptions!$B$4,"GST not applied",IF(ABS(L15-G15*(1+Assumptions!$B$3))&lt;=Assumptions!$B$4,"Volume discount not applied",IF(ABS(L15-P15)&lt;=Assumptions!$B$4,"Old rate used","Review: qty / rate / other"))))</f>
        <v>GST not applied</v>
      </c>
      <c r="R15" s="21"/>
      <c r="S15" s="2"/>
    </row>
    <row r="16" spans="1:19" x14ac:dyDescent="0.3">
      <c r="A16" s="18" t="s">
        <v>59</v>
      </c>
      <c r="B16" s="18" t="s">
        <v>57</v>
      </c>
      <c r="C16" s="18" t="s">
        <v>44</v>
      </c>
      <c r="D16" s="18" t="s">
        <v>19</v>
      </c>
      <c r="E16" s="18">
        <v>5</v>
      </c>
      <c r="F16" s="22">
        <f>INDEX(Rate_Card!$C$2:$C$6,MATCH(D16,Rate_Card!$A$2:$A$6,0))</f>
        <v>900</v>
      </c>
      <c r="G16" s="22">
        <f t="shared" si="0"/>
        <v>4500</v>
      </c>
      <c r="H16" s="22">
        <f>IF(E16&gt;INDEX(Rate_Card!$D$2:$D$6,MATCH(D16,Rate_Card!$A$2:$A$6,0)),G16*INDEX(Rate_Card!$E$2:$E$6,MATCH(D16,Rate_Card!$A$2:$A$6,0)),0)</f>
        <v>0</v>
      </c>
      <c r="I16" s="22">
        <f t="shared" si="1"/>
        <v>4500</v>
      </c>
      <c r="J16" s="22">
        <f>I16*Assumptions!$B$3</f>
        <v>810</v>
      </c>
      <c r="K16" s="22">
        <f t="shared" si="2"/>
        <v>5310</v>
      </c>
      <c r="L16" s="19">
        <v>5310</v>
      </c>
      <c r="M16" s="22">
        <f t="shared" si="3"/>
        <v>0</v>
      </c>
      <c r="N16" s="23">
        <f t="shared" si="4"/>
        <v>0</v>
      </c>
      <c r="O16" s="15" t="str">
        <f>IF(ABS(M16)&lt;=Assumptions!$B$4,"Match",IF(M16&gt;0,"Overbilled","Underbilled"))</f>
        <v>Match</v>
      </c>
      <c r="P16" s="22">
        <f>ROUND((E16*INDEX(Rate_Card!$F$2:$F$6,MATCH(D16,Rate_Card!$A$2:$A$6,0))-IF(E16&gt;INDEX(Rate_Card!$D$2:$D$6,MATCH(D16,Rate_Card!$A$2:$A$6,0)),E16*INDEX(Rate_Card!$F$2:$F$6,MATCH(D16,Rate_Card!$A$2:$A$6,0))*INDEX(Rate_Card!$E$2:$E$6,MATCH(D16,Rate_Card!$A$2:$A$6,0)),0))*(1+Assumptions!$B$3),2)</f>
        <v>5015</v>
      </c>
      <c r="Q16" s="15" t="str">
        <f>IF(O16="Match","",IF(ABS(L16-I16)&lt;=Assumptions!$B$4,"GST not applied",IF(ABS(L16-G16*(1+Assumptions!$B$3))&lt;=Assumptions!$B$4,"Volume discount not applied",IF(ABS(L16-P16)&lt;=Assumptions!$B$4,"Old rate used","Review: qty / rate / other"))))</f>
        <v/>
      </c>
      <c r="R16" s="21"/>
      <c r="S16" s="2"/>
    </row>
    <row r="17" spans="1:19" x14ac:dyDescent="0.3">
      <c r="A17" s="18" t="s">
        <v>60</v>
      </c>
      <c r="B17" s="18" t="s">
        <v>57</v>
      </c>
      <c r="C17" s="18" t="s">
        <v>44</v>
      </c>
      <c r="D17" s="18" t="s">
        <v>15</v>
      </c>
      <c r="E17" s="18">
        <v>12</v>
      </c>
      <c r="F17" s="22">
        <f>INDEX(Rate_Card!$C$2:$C$6,MATCH(D17,Rate_Card!$A$2:$A$6,0))</f>
        <v>4500</v>
      </c>
      <c r="G17" s="22">
        <f t="shared" si="0"/>
        <v>54000</v>
      </c>
      <c r="H17" s="22">
        <f>IF(E17&gt;INDEX(Rate_Card!$D$2:$D$6,MATCH(D17,Rate_Card!$A$2:$A$6,0)),G17*INDEX(Rate_Card!$E$2:$E$6,MATCH(D17,Rate_Card!$A$2:$A$6,0)),0)</f>
        <v>4320</v>
      </c>
      <c r="I17" s="22">
        <f t="shared" si="1"/>
        <v>49680</v>
      </c>
      <c r="J17" s="22">
        <f>I17*Assumptions!$B$3</f>
        <v>8942.4</v>
      </c>
      <c r="K17" s="22">
        <f t="shared" si="2"/>
        <v>58622.400000000001</v>
      </c>
      <c r="L17" s="19">
        <v>61122.400000000001</v>
      </c>
      <c r="M17" s="22">
        <f t="shared" si="3"/>
        <v>2500</v>
      </c>
      <c r="N17" s="23">
        <f t="shared" si="4"/>
        <v>4.264581456917492E-2</v>
      </c>
      <c r="O17" s="15" t="str">
        <f>IF(ABS(M17)&lt;=Assumptions!$B$4,"Match",IF(M17&gt;0,"Overbilled","Underbilled"))</f>
        <v>Overbilled</v>
      </c>
      <c r="P17" s="22">
        <f>ROUND((E17*INDEX(Rate_Card!$F$2:$F$6,MATCH(D17,Rate_Card!$A$2:$A$6,0))-IF(E17&gt;INDEX(Rate_Card!$D$2:$D$6,MATCH(D17,Rate_Card!$A$2:$A$6,0)),E17*INDEX(Rate_Card!$F$2:$F$6,MATCH(D17,Rate_Card!$A$2:$A$6,0))*INDEX(Rate_Card!$E$2:$E$6,MATCH(D17,Rate_Card!$A$2:$A$6,0)),0))*(1+Assumptions!$B$3),2)</f>
        <v>52108.800000000003</v>
      </c>
      <c r="Q17" s="15" t="str">
        <f>IF(O17="Match","",IF(ABS(L17-I17)&lt;=Assumptions!$B$4,"GST not applied",IF(ABS(L17-G17*(1+Assumptions!$B$3))&lt;=Assumptions!$B$4,"Volume discount not applied",IF(ABS(L17-P17)&lt;=Assumptions!$B$4,"Old rate used","Review: qty / rate / other"))))</f>
        <v>Review: qty / rate / other</v>
      </c>
      <c r="R17" s="21"/>
      <c r="S17" s="2"/>
    </row>
    <row r="18" spans="1:19" x14ac:dyDescent="0.3">
      <c r="A18" s="18" t="s">
        <v>61</v>
      </c>
      <c r="B18" s="18" t="s">
        <v>57</v>
      </c>
      <c r="C18" s="18" t="s">
        <v>47</v>
      </c>
      <c r="D18" s="18" t="s">
        <v>19</v>
      </c>
      <c r="E18" s="18">
        <v>2</v>
      </c>
      <c r="F18" s="22">
        <f>INDEX(Rate_Card!$C$2:$C$6,MATCH(D18,Rate_Card!$A$2:$A$6,0))</f>
        <v>900</v>
      </c>
      <c r="G18" s="22">
        <f t="shared" si="0"/>
        <v>1800</v>
      </c>
      <c r="H18" s="22">
        <f>IF(E18&gt;INDEX(Rate_Card!$D$2:$D$6,MATCH(D18,Rate_Card!$A$2:$A$6,0)),G18*INDEX(Rate_Card!$E$2:$E$6,MATCH(D18,Rate_Card!$A$2:$A$6,0)),0)</f>
        <v>0</v>
      </c>
      <c r="I18" s="22">
        <f t="shared" si="1"/>
        <v>1800</v>
      </c>
      <c r="J18" s="22">
        <f>I18*Assumptions!$B$3</f>
        <v>324</v>
      </c>
      <c r="K18" s="22">
        <f t="shared" si="2"/>
        <v>2124</v>
      </c>
      <c r="L18" s="19">
        <v>2124</v>
      </c>
      <c r="M18" s="22">
        <f t="shared" si="3"/>
        <v>0</v>
      </c>
      <c r="N18" s="23">
        <f t="shared" si="4"/>
        <v>0</v>
      </c>
      <c r="O18" s="15" t="str">
        <f>IF(ABS(M18)&lt;=Assumptions!$B$4,"Match",IF(M18&gt;0,"Overbilled","Underbilled"))</f>
        <v>Match</v>
      </c>
      <c r="P18" s="22">
        <f>ROUND((E18*INDEX(Rate_Card!$F$2:$F$6,MATCH(D18,Rate_Card!$A$2:$A$6,0))-IF(E18&gt;INDEX(Rate_Card!$D$2:$D$6,MATCH(D18,Rate_Card!$A$2:$A$6,0)),E18*INDEX(Rate_Card!$F$2:$F$6,MATCH(D18,Rate_Card!$A$2:$A$6,0))*INDEX(Rate_Card!$E$2:$E$6,MATCH(D18,Rate_Card!$A$2:$A$6,0)),0))*(1+Assumptions!$B$3),2)</f>
        <v>2006</v>
      </c>
      <c r="Q18" s="15" t="str">
        <f>IF(O18="Match","",IF(ABS(L18-I18)&lt;=Assumptions!$B$4,"GST not applied",IF(ABS(L18-G18*(1+Assumptions!$B$3))&lt;=Assumptions!$B$4,"Volume discount not applied",IF(ABS(L18-P18)&lt;=Assumptions!$B$4,"Old rate used","Review: qty / rate / other"))))</f>
        <v/>
      </c>
      <c r="R18" s="21"/>
      <c r="S18" s="2"/>
    </row>
    <row r="19" spans="1:19" x14ac:dyDescent="0.3">
      <c r="A19" s="18" t="s">
        <v>62</v>
      </c>
      <c r="B19" s="18" t="s">
        <v>57</v>
      </c>
      <c r="C19" s="18" t="s">
        <v>47</v>
      </c>
      <c r="D19" s="18" t="s">
        <v>13</v>
      </c>
      <c r="E19" s="18">
        <v>60</v>
      </c>
      <c r="F19" s="22">
        <f>INDEX(Rate_Card!$C$2:$C$6,MATCH(D19,Rate_Card!$A$2:$A$6,0))</f>
        <v>1200</v>
      </c>
      <c r="G19" s="22">
        <f t="shared" si="0"/>
        <v>72000</v>
      </c>
      <c r="H19" s="22">
        <f>IF(E19&gt;INDEX(Rate_Card!$D$2:$D$6,MATCH(D19,Rate_Card!$A$2:$A$6,0)),G19*INDEX(Rate_Card!$E$2:$E$6,MATCH(D19,Rate_Card!$A$2:$A$6,0)),0)</f>
        <v>0</v>
      </c>
      <c r="I19" s="22">
        <f t="shared" si="1"/>
        <v>72000</v>
      </c>
      <c r="J19" s="22">
        <f>I19*Assumptions!$B$3</f>
        <v>12960</v>
      </c>
      <c r="K19" s="22">
        <f t="shared" si="2"/>
        <v>84960</v>
      </c>
      <c r="L19" s="19">
        <v>84960</v>
      </c>
      <c r="M19" s="22">
        <f t="shared" si="3"/>
        <v>0</v>
      </c>
      <c r="N19" s="23">
        <f t="shared" si="4"/>
        <v>0</v>
      </c>
      <c r="O19" s="15" t="str">
        <f>IF(ABS(M19)&lt;=Assumptions!$B$4,"Match",IF(M19&gt;0,"Overbilled","Underbilled"))</f>
        <v>Match</v>
      </c>
      <c r="P19" s="22">
        <f>ROUND((E19*INDEX(Rate_Card!$F$2:$F$6,MATCH(D19,Rate_Card!$A$2:$A$6,0))-IF(E19&gt;INDEX(Rate_Card!$D$2:$D$6,MATCH(D19,Rate_Card!$A$2:$A$6,0)),E19*INDEX(Rate_Card!$F$2:$F$6,MATCH(D19,Rate_Card!$A$2:$A$6,0))*INDEX(Rate_Card!$E$2:$E$6,MATCH(D19,Rate_Card!$A$2:$A$6,0)),0))*(1+Assumptions!$B$3),2)</f>
        <v>70800</v>
      </c>
      <c r="Q19" s="15" t="str">
        <f>IF(O19="Match","",IF(ABS(L19-I19)&lt;=Assumptions!$B$4,"GST not applied",IF(ABS(L19-G19*(1+Assumptions!$B$3))&lt;=Assumptions!$B$4,"Volume discount not applied",IF(ABS(L19-P19)&lt;=Assumptions!$B$4,"Old rate used","Review: qty / rate / other"))))</f>
        <v/>
      </c>
      <c r="R19" s="21"/>
      <c r="S19" s="2"/>
    </row>
  </sheetData>
  <conditionalFormatting sqref="O2:O19">
    <cfRule type="cellIs" dxfId="1" priority="2" operator="equal">
      <formula>"Match"</formula>
    </cfRule>
    <cfRule type="cellIs" dxfId="0" priority="3" operator="notEqual">
      <formula>"Match"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tabSelected="1" zoomScaleNormal="100" workbookViewId="0">
      <selection activeCell="D12" sqref="D12"/>
    </sheetView>
  </sheetViews>
  <sheetFormatPr defaultColWidth="8.6640625" defaultRowHeight="14.4" x14ac:dyDescent="0.3"/>
  <cols>
    <col min="1" max="1" width="33.6640625" customWidth="1"/>
    <col min="2" max="4" width="16" customWidth="1"/>
  </cols>
  <sheetData>
    <row r="1" spans="1:4" ht="20.399999999999999" customHeight="1" x14ac:dyDescent="0.3">
      <c r="A1" s="25" t="s">
        <v>63</v>
      </c>
    </row>
    <row r="2" spans="1:4" x14ac:dyDescent="0.3">
      <c r="A2" s="13" t="s">
        <v>64</v>
      </c>
      <c r="B2" s="15">
        <f>COUNTA(Billing_Reconciliation!A2:A19)</f>
        <v>18</v>
      </c>
    </row>
    <row r="3" spans="1:4" x14ac:dyDescent="0.3">
      <c r="A3" s="13" t="s">
        <v>65</v>
      </c>
      <c r="B3" s="15">
        <f>COUNTIF(Billing_Reconciliation!O2:O19,"Match")</f>
        <v>12</v>
      </c>
    </row>
    <row r="4" spans="1:4" x14ac:dyDescent="0.3">
      <c r="A4" s="13" t="s">
        <v>66</v>
      </c>
      <c r="B4" s="15">
        <f>COUNTIF(Billing_Reconciliation!O2:O19,"Overbilled")</f>
        <v>3</v>
      </c>
    </row>
    <row r="5" spans="1:4" x14ac:dyDescent="0.3">
      <c r="A5" s="13" t="s">
        <v>67</v>
      </c>
      <c r="B5" s="15">
        <f>COUNTIF(Billing_Reconciliation!O2:O19,"Underbilled")</f>
        <v>3</v>
      </c>
    </row>
    <row r="6" spans="1:4" x14ac:dyDescent="0.3">
      <c r="A6" s="13" t="s">
        <v>68</v>
      </c>
      <c r="B6" s="24">
        <f>IF(B2=0,0,(B4+B5)/B2)</f>
        <v>0.33333333333333331</v>
      </c>
    </row>
    <row r="7" spans="1:4" x14ac:dyDescent="0.3">
      <c r="A7" s="15"/>
      <c r="B7" s="21"/>
    </row>
    <row r="8" spans="1:4" x14ac:dyDescent="0.3">
      <c r="A8" s="13" t="s">
        <v>69</v>
      </c>
      <c r="B8" s="22">
        <f>SUM(Billing_Reconciliation!K2:K19)</f>
        <v>607263.4</v>
      </c>
    </row>
    <row r="9" spans="1:4" x14ac:dyDescent="0.3">
      <c r="A9" s="13" t="s">
        <v>70</v>
      </c>
      <c r="B9" s="22">
        <f>SUM(Billing_Reconciliation!L2:L19)</f>
        <v>616538.5</v>
      </c>
    </row>
    <row r="10" spans="1:4" x14ac:dyDescent="0.3">
      <c r="A10" s="13" t="s">
        <v>71</v>
      </c>
      <c r="B10" s="22">
        <f>B9-B8</f>
        <v>9275.0999999999767</v>
      </c>
    </row>
    <row r="11" spans="1:4" x14ac:dyDescent="0.3">
      <c r="A11" s="13" t="s">
        <v>72</v>
      </c>
      <c r="B11" s="22">
        <f>SUMIF(Billing_Reconciliation!M2:M19,"&gt;"&amp;Assumptions!B4)</f>
        <v>21085</v>
      </c>
    </row>
    <row r="12" spans="1:4" x14ac:dyDescent="0.3">
      <c r="A12" s="13" t="s">
        <v>73</v>
      </c>
      <c r="B12" s="22">
        <f>SUMIF(Billing_Reconciliation!M2:M19,"&lt;"&amp;-Assumptions!B4)</f>
        <v>-11810</v>
      </c>
    </row>
    <row r="14" spans="1:4" x14ac:dyDescent="0.3">
      <c r="A14" s="1" t="s">
        <v>74</v>
      </c>
    </row>
    <row r="15" spans="1:4" ht="31.5" customHeight="1" x14ac:dyDescent="0.3">
      <c r="A15" s="17" t="s">
        <v>7</v>
      </c>
      <c r="B15" s="17" t="s">
        <v>75</v>
      </c>
      <c r="C15" s="17" t="s">
        <v>76</v>
      </c>
      <c r="D15" s="17" t="s">
        <v>33</v>
      </c>
    </row>
    <row r="16" spans="1:4" x14ac:dyDescent="0.3">
      <c r="A16" s="15" t="str">
        <f>Rate_Card!A2</f>
        <v>IT Support (per hour)</v>
      </c>
      <c r="B16" s="22">
        <f>SUMIF(Billing_Reconciliation!D$2:D$19,A16,Billing_Reconciliation!K$2:K$19)</f>
        <v>243552</v>
      </c>
      <c r="C16" s="22">
        <f>SUMIF(Billing_Reconciliation!D$2:D$19,A16,Billing_Reconciliation!L$2:L$19)</f>
        <v>234912</v>
      </c>
      <c r="D16" s="22">
        <f>C16-B16</f>
        <v>-8640</v>
      </c>
    </row>
    <row r="17" spans="1:4" x14ac:dyDescent="0.3">
      <c r="A17" s="15" t="str">
        <f>Rate_Card!A3</f>
        <v>Cloud Storage (per TB)</v>
      </c>
      <c r="B17" s="22">
        <f>SUMIF(Billing_Reconciliation!D$2:D$19,A17,Billing_Reconciliation!K$2:K$19)</f>
        <v>95792.4</v>
      </c>
      <c r="C17" s="22">
        <f>SUMIF(Billing_Reconciliation!D$2:D$19,A17,Billing_Reconciliation!L$2:L$19)</f>
        <v>114222.39999999999</v>
      </c>
      <c r="D17" s="22">
        <f>C17-B17</f>
        <v>18430</v>
      </c>
    </row>
    <row r="18" spans="1:4" x14ac:dyDescent="0.3">
      <c r="A18" s="15" t="str">
        <f>Rate_Card!A4</f>
        <v>Data Entry (per 1000 records)</v>
      </c>
      <c r="B18" s="22">
        <f>SUMIF(Billing_Reconciliation!D$2:D$19,A18,Billing_Reconciliation!K$2:K$19)</f>
        <v>6136</v>
      </c>
      <c r="C18" s="22">
        <f>SUMIF(Billing_Reconciliation!D$2:D$19,A18,Billing_Reconciliation!L$2:L$19)</f>
        <v>6136</v>
      </c>
      <c r="D18" s="22">
        <f>C18-B18</f>
        <v>0</v>
      </c>
    </row>
    <row r="19" spans="1:4" x14ac:dyDescent="0.3">
      <c r="A19" s="15" t="str">
        <f>Rate_Card!A5</f>
        <v>Report Generation (per report)</v>
      </c>
      <c r="B19" s="22">
        <f>SUMIF(Billing_Reconciliation!D$2:D$19,A19,Billing_Reconciliation!K$2:K$19)</f>
        <v>38763</v>
      </c>
      <c r="C19" s="22">
        <f>SUMIF(Billing_Reconciliation!D$2:D$19,A19,Billing_Reconciliation!L$2:L$19)</f>
        <v>40608</v>
      </c>
      <c r="D19" s="22">
        <f>C19-B19</f>
        <v>1845</v>
      </c>
    </row>
    <row r="20" spans="1:4" x14ac:dyDescent="0.3">
      <c r="A20" s="15" t="str">
        <f>Rate_Card!A6</f>
        <v>Server Maintenance (per month)</v>
      </c>
      <c r="B20" s="22">
        <f>SUMIF(Billing_Reconciliation!D$2:D$19,A20,Billing_Reconciliation!K$2:K$19)</f>
        <v>223020</v>
      </c>
      <c r="C20" s="22">
        <f>SUMIF(Billing_Reconciliation!D$2:D$19,A20,Billing_Reconciliation!L$2:L$19)</f>
        <v>220660.09999999998</v>
      </c>
      <c r="D20" s="22">
        <f>C20-B20</f>
        <v>-2359.9000000000233</v>
      </c>
    </row>
    <row r="22" spans="1:4" x14ac:dyDescent="0.3">
      <c r="A22" s="1" t="s">
        <v>77</v>
      </c>
    </row>
    <row r="23" spans="1:4" ht="31.5" customHeight="1" x14ac:dyDescent="0.3">
      <c r="A23" s="17" t="s">
        <v>25</v>
      </c>
      <c r="B23" s="17" t="s">
        <v>75</v>
      </c>
      <c r="C23" s="17" t="s">
        <v>76</v>
      </c>
      <c r="D23" s="17" t="s">
        <v>33</v>
      </c>
    </row>
    <row r="24" spans="1:4" x14ac:dyDescent="0.3">
      <c r="A24" s="18" t="s">
        <v>41</v>
      </c>
      <c r="B24" s="22">
        <f>SUMIF(Billing_Reconciliation!C$2:C$19,A24,Billing_Reconciliation!K$2:K$19)</f>
        <v>335415</v>
      </c>
      <c r="C24" s="22">
        <f>SUMIF(Billing_Reconciliation!C$2:C$19,A24,Billing_Reconciliation!L$2:L$19)</f>
        <v>327070.40000000002</v>
      </c>
      <c r="D24" s="22">
        <f>C24-B24</f>
        <v>-8344.5999999999767</v>
      </c>
    </row>
    <row r="25" spans="1:4" x14ac:dyDescent="0.3">
      <c r="A25" s="18" t="s">
        <v>44</v>
      </c>
      <c r="B25" s="22">
        <f>SUMIF(Billing_Reconciliation!C$2:C$19,A25,Billing_Reconciliation!K$2:K$19)</f>
        <v>120926.39999999999</v>
      </c>
      <c r="C25" s="22">
        <f>SUMIF(Billing_Reconciliation!C$2:C$19,A25,Billing_Reconciliation!L$2:L$19)</f>
        <v>139356.4</v>
      </c>
      <c r="D25" s="22">
        <f>C25-B25</f>
        <v>18430</v>
      </c>
    </row>
    <row r="26" spans="1:4" x14ac:dyDescent="0.3">
      <c r="A26" s="18" t="s">
        <v>47</v>
      </c>
      <c r="B26" s="22">
        <f>SUMIF(Billing_Reconciliation!C$2:C$19,A26,Billing_Reconciliation!K$2:K$19)</f>
        <v>150922</v>
      </c>
      <c r="C26" s="22">
        <f>SUMIF(Billing_Reconciliation!C$2:C$19,A26,Billing_Reconciliation!L$2:L$19)</f>
        <v>150111.70000000001</v>
      </c>
      <c r="D26" s="22">
        <f>C26-B26</f>
        <v>-810.29999999998836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Assumptions</vt:lpstr>
      <vt:lpstr>Rate_Card</vt:lpstr>
      <vt:lpstr>Billing_Reconciliation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Jatin Gusain</cp:lastModifiedBy>
  <cp:revision>0</cp:revision>
  <dcterms:created xsi:type="dcterms:W3CDTF">2026-10-01T03:14:07Z</dcterms:created>
  <dcterms:modified xsi:type="dcterms:W3CDTF">2026-10-01T07:50:22Z</dcterms:modified>
  <dc:language>en-US</dc:language>
</cp:coreProperties>
</file>