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BA366B77B82ABF61/Documents/"/>
    </mc:Choice>
  </mc:AlternateContent>
  <xr:revisionPtr revIDLastSave="61" documentId="8_{3BFF8ECE-8799-4D6D-B90B-462776421294}" xr6:coauthVersionLast="47" xr6:coauthVersionMax="47" xr10:uidLastSave="{661AEB66-9ACE-41B6-9697-21E6B3A4A54B}"/>
  <bookViews>
    <workbookView xWindow="-96" yWindow="0" windowWidth="15324" windowHeight="12336" tabRatio="500" firstSheet="2" activeTab="4" xr2:uid="{00000000-000D-0000-FFFF-FFFF00000000}"/>
  </bookViews>
  <sheets>
    <sheet name="All" sheetId="1" r:id="rId1"/>
    <sheet name="PO_Data" sheetId="2" r:id="rId2"/>
    <sheet name="Invoice_Data" sheetId="3" r:id="rId3"/>
    <sheet name="Verification" sheetId="4" r:id="rId4"/>
    <sheet name="Summary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25" i="4" l="1"/>
  <c r="K25" i="4"/>
  <c r="H25" i="4"/>
  <c r="O25" i="4" s="1"/>
  <c r="G25" i="4"/>
  <c r="N25" i="4" s="1"/>
  <c r="F25" i="4"/>
  <c r="D25" i="4"/>
  <c r="C25" i="4"/>
  <c r="B25" i="4"/>
  <c r="E25" i="4" s="1"/>
  <c r="A25" i="4"/>
  <c r="L24" i="4"/>
  <c r="K24" i="4"/>
  <c r="H24" i="4"/>
  <c r="O24" i="4" s="1"/>
  <c r="F24" i="4"/>
  <c r="E24" i="4"/>
  <c r="M24" i="4" s="1"/>
  <c r="D24" i="4"/>
  <c r="C24" i="4"/>
  <c r="B24" i="4"/>
  <c r="A24" i="4"/>
  <c r="L23" i="4"/>
  <c r="K23" i="4"/>
  <c r="H23" i="4"/>
  <c r="G23" i="4"/>
  <c r="N23" i="4" s="1"/>
  <c r="F23" i="4"/>
  <c r="O23" i="4" s="1"/>
  <c r="E23" i="4"/>
  <c r="I23" i="4" s="1"/>
  <c r="J23" i="4" s="1"/>
  <c r="D23" i="4"/>
  <c r="C23" i="4"/>
  <c r="B23" i="4"/>
  <c r="P23" i="4" s="1"/>
  <c r="A23" i="4"/>
  <c r="L22" i="4"/>
  <c r="K22" i="4"/>
  <c r="H22" i="4"/>
  <c r="O22" i="4" s="1"/>
  <c r="F22" i="4"/>
  <c r="E22" i="4"/>
  <c r="M22" i="4" s="1"/>
  <c r="D22" i="4"/>
  <c r="C22" i="4"/>
  <c r="B22" i="4"/>
  <c r="A22" i="4"/>
  <c r="L21" i="4"/>
  <c r="K21" i="4"/>
  <c r="H21" i="4"/>
  <c r="G21" i="4"/>
  <c r="N21" i="4" s="1"/>
  <c r="F21" i="4"/>
  <c r="O21" i="4" s="1"/>
  <c r="E21" i="4"/>
  <c r="I21" i="4" s="1"/>
  <c r="J21" i="4" s="1"/>
  <c r="D21" i="4"/>
  <c r="C21" i="4"/>
  <c r="B21" i="4"/>
  <c r="A21" i="4"/>
  <c r="L20" i="4"/>
  <c r="K20" i="4"/>
  <c r="H20" i="4"/>
  <c r="O20" i="4" s="1"/>
  <c r="F20" i="4"/>
  <c r="E20" i="4"/>
  <c r="M20" i="4" s="1"/>
  <c r="D20" i="4"/>
  <c r="C20" i="4"/>
  <c r="B20" i="4"/>
  <c r="A20" i="4"/>
  <c r="L19" i="4"/>
  <c r="K19" i="4"/>
  <c r="H19" i="4"/>
  <c r="G19" i="4"/>
  <c r="N19" i="4" s="1"/>
  <c r="F19" i="4"/>
  <c r="O19" i="4" s="1"/>
  <c r="E19" i="4"/>
  <c r="I19" i="4" s="1"/>
  <c r="J19" i="4" s="1"/>
  <c r="D19" i="4"/>
  <c r="C19" i="4"/>
  <c r="B19" i="4"/>
  <c r="A19" i="4"/>
  <c r="L18" i="4"/>
  <c r="K18" i="4"/>
  <c r="H18" i="4"/>
  <c r="O18" i="4" s="1"/>
  <c r="F18" i="4"/>
  <c r="E18" i="4"/>
  <c r="M18" i="4" s="1"/>
  <c r="D18" i="4"/>
  <c r="C18" i="4"/>
  <c r="B18" i="4"/>
  <c r="A18" i="4"/>
  <c r="L17" i="4"/>
  <c r="K17" i="4"/>
  <c r="H17" i="4"/>
  <c r="G17" i="4"/>
  <c r="N17" i="4" s="1"/>
  <c r="F17" i="4"/>
  <c r="O17" i="4" s="1"/>
  <c r="E17" i="4"/>
  <c r="I17" i="4" s="1"/>
  <c r="J17" i="4" s="1"/>
  <c r="D17" i="4"/>
  <c r="C17" i="4"/>
  <c r="B17" i="4"/>
  <c r="A17" i="4"/>
  <c r="L16" i="4"/>
  <c r="K16" i="4"/>
  <c r="H16" i="4"/>
  <c r="O16" i="4" s="1"/>
  <c r="F16" i="4"/>
  <c r="E16" i="4"/>
  <c r="M16" i="4" s="1"/>
  <c r="D16" i="4"/>
  <c r="C16" i="4"/>
  <c r="B16" i="4"/>
  <c r="A16" i="4"/>
  <c r="L15" i="4"/>
  <c r="K15" i="4"/>
  <c r="H15" i="4"/>
  <c r="G15" i="4"/>
  <c r="N15" i="4" s="1"/>
  <c r="F15" i="4"/>
  <c r="O15" i="4" s="1"/>
  <c r="E15" i="4"/>
  <c r="I15" i="4" s="1"/>
  <c r="J15" i="4" s="1"/>
  <c r="D15" i="4"/>
  <c r="C15" i="4"/>
  <c r="B15" i="4"/>
  <c r="A15" i="4"/>
  <c r="L14" i="4"/>
  <c r="K14" i="4"/>
  <c r="H14" i="4"/>
  <c r="O14" i="4" s="1"/>
  <c r="F14" i="4"/>
  <c r="E14" i="4"/>
  <c r="M14" i="4" s="1"/>
  <c r="D14" i="4"/>
  <c r="C14" i="4"/>
  <c r="B14" i="4"/>
  <c r="A14" i="4"/>
  <c r="L13" i="4"/>
  <c r="K13" i="4"/>
  <c r="H13" i="4"/>
  <c r="G13" i="4"/>
  <c r="N13" i="4" s="1"/>
  <c r="F13" i="4"/>
  <c r="O13" i="4" s="1"/>
  <c r="E13" i="4"/>
  <c r="I13" i="4" s="1"/>
  <c r="J13" i="4" s="1"/>
  <c r="D13" i="4"/>
  <c r="C13" i="4"/>
  <c r="B13" i="4"/>
  <c r="A13" i="4"/>
  <c r="L12" i="4"/>
  <c r="K12" i="4"/>
  <c r="H12" i="4"/>
  <c r="O12" i="4" s="1"/>
  <c r="F12" i="4"/>
  <c r="E12" i="4"/>
  <c r="M12" i="4" s="1"/>
  <c r="D12" i="4"/>
  <c r="C12" i="4"/>
  <c r="B12" i="4"/>
  <c r="A12" i="4"/>
  <c r="L11" i="4"/>
  <c r="K11" i="4"/>
  <c r="H11" i="4"/>
  <c r="G11" i="4"/>
  <c r="N11" i="4" s="1"/>
  <c r="F11" i="4"/>
  <c r="O11" i="4" s="1"/>
  <c r="E11" i="4"/>
  <c r="I11" i="4" s="1"/>
  <c r="J11" i="4" s="1"/>
  <c r="D11" i="4"/>
  <c r="C11" i="4"/>
  <c r="B11" i="4"/>
  <c r="A11" i="4"/>
  <c r="L10" i="4"/>
  <c r="K10" i="4"/>
  <c r="H10" i="4"/>
  <c r="O10" i="4" s="1"/>
  <c r="F10" i="4"/>
  <c r="E10" i="4"/>
  <c r="M10" i="4" s="1"/>
  <c r="D10" i="4"/>
  <c r="C10" i="4"/>
  <c r="B10" i="4"/>
  <c r="A10" i="4"/>
  <c r="L9" i="4"/>
  <c r="K9" i="4"/>
  <c r="H9" i="4"/>
  <c r="G9" i="4"/>
  <c r="N9" i="4" s="1"/>
  <c r="F9" i="4"/>
  <c r="O9" i="4" s="1"/>
  <c r="E9" i="4"/>
  <c r="I9" i="4" s="1"/>
  <c r="J9" i="4" s="1"/>
  <c r="D9" i="4"/>
  <c r="C9" i="4"/>
  <c r="B9" i="4"/>
  <c r="A9" i="4"/>
  <c r="L8" i="4"/>
  <c r="K8" i="4"/>
  <c r="H8" i="4"/>
  <c r="O8" i="4" s="1"/>
  <c r="F8" i="4"/>
  <c r="E8" i="4"/>
  <c r="M8" i="4" s="1"/>
  <c r="D8" i="4"/>
  <c r="C8" i="4"/>
  <c r="B8" i="4"/>
  <c r="A8" i="4"/>
  <c r="L7" i="4"/>
  <c r="K7" i="4"/>
  <c r="H7" i="4"/>
  <c r="G7" i="4"/>
  <c r="N7" i="4" s="1"/>
  <c r="F7" i="4"/>
  <c r="O7" i="4" s="1"/>
  <c r="E7" i="4"/>
  <c r="I7" i="4" s="1"/>
  <c r="J7" i="4" s="1"/>
  <c r="D7" i="4"/>
  <c r="C7" i="4"/>
  <c r="B7" i="4"/>
  <c r="A7" i="4"/>
  <c r="M6" i="4"/>
  <c r="L6" i="4"/>
  <c r="K6" i="4"/>
  <c r="H6" i="4"/>
  <c r="O6" i="4" s="1"/>
  <c r="F6" i="4"/>
  <c r="E6" i="4"/>
  <c r="D6" i="4"/>
  <c r="C6" i="4"/>
  <c r="B6" i="4"/>
  <c r="A6" i="4"/>
  <c r="L5" i="4"/>
  <c r="K5" i="4"/>
  <c r="H5" i="4"/>
  <c r="G5" i="4"/>
  <c r="N5" i="4" s="1"/>
  <c r="F5" i="4"/>
  <c r="O5" i="4" s="1"/>
  <c r="E5" i="4"/>
  <c r="I5" i="4" s="1"/>
  <c r="J5" i="4" s="1"/>
  <c r="D5" i="4"/>
  <c r="C5" i="4"/>
  <c r="B5" i="4"/>
  <c r="A5" i="4"/>
  <c r="M4" i="4"/>
  <c r="L4" i="4"/>
  <c r="K4" i="4"/>
  <c r="H4" i="4"/>
  <c r="O4" i="4" s="1"/>
  <c r="F4" i="4"/>
  <c r="E4" i="4"/>
  <c r="D4" i="4"/>
  <c r="C4" i="4"/>
  <c r="B4" i="4"/>
  <c r="A4" i="4"/>
  <c r="L3" i="4"/>
  <c r="K3" i="4"/>
  <c r="H3" i="4"/>
  <c r="G3" i="4"/>
  <c r="N3" i="4" s="1"/>
  <c r="F3" i="4"/>
  <c r="O3" i="4" s="1"/>
  <c r="E3" i="4"/>
  <c r="I3" i="4" s="1"/>
  <c r="J3" i="4" s="1"/>
  <c r="D3" i="4"/>
  <c r="C3" i="4"/>
  <c r="B3" i="4"/>
  <c r="A3" i="4"/>
  <c r="M2" i="4"/>
  <c r="L2" i="4"/>
  <c r="B9" i="5" s="1"/>
  <c r="K2" i="4"/>
  <c r="B8" i="5" s="1"/>
  <c r="H2" i="4"/>
  <c r="O2" i="4" s="1"/>
  <c r="B12" i="5" s="1"/>
  <c r="G2" i="4"/>
  <c r="N2" i="4" s="1"/>
  <c r="F2" i="4"/>
  <c r="E2" i="4"/>
  <c r="I2" i="4" s="1"/>
  <c r="D2" i="4"/>
  <c r="C2" i="4"/>
  <c r="B2" i="4"/>
  <c r="A2" i="4"/>
  <c r="B3" i="5" s="1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I25" i="4" l="1"/>
  <c r="J25" i="4" s="1"/>
  <c r="M25" i="4"/>
  <c r="P24" i="4"/>
  <c r="I6" i="4"/>
  <c r="J6" i="4" s="1"/>
  <c r="J2" i="4"/>
  <c r="R23" i="4"/>
  <c r="Q23" i="4"/>
  <c r="P10" i="4"/>
  <c r="P3" i="4"/>
  <c r="I4" i="4"/>
  <c r="J4" i="4" s="1"/>
  <c r="P2" i="4"/>
  <c r="M3" i="4"/>
  <c r="B10" i="5" s="1"/>
  <c r="G4" i="4"/>
  <c r="N4" i="4" s="1"/>
  <c r="B11" i="5" s="1"/>
  <c r="M5" i="4"/>
  <c r="P5" i="4" s="1"/>
  <c r="G6" i="4"/>
  <c r="N6" i="4" s="1"/>
  <c r="P6" i="4" s="1"/>
  <c r="M7" i="4"/>
  <c r="P7" i="4" s="1"/>
  <c r="G8" i="4"/>
  <c r="N8" i="4" s="1"/>
  <c r="P8" i="4" s="1"/>
  <c r="M9" i="4"/>
  <c r="P9" i="4" s="1"/>
  <c r="G10" i="4"/>
  <c r="N10" i="4" s="1"/>
  <c r="M11" i="4"/>
  <c r="P11" i="4" s="1"/>
  <c r="G12" i="4"/>
  <c r="N12" i="4" s="1"/>
  <c r="P12" i="4" s="1"/>
  <c r="M13" i="4"/>
  <c r="P13" i="4" s="1"/>
  <c r="G14" i="4"/>
  <c r="N14" i="4" s="1"/>
  <c r="P14" i="4" s="1"/>
  <c r="M15" i="4"/>
  <c r="P15" i="4" s="1"/>
  <c r="G16" i="4"/>
  <c r="N16" i="4" s="1"/>
  <c r="P16" i="4" s="1"/>
  <c r="M17" i="4"/>
  <c r="P17" i="4" s="1"/>
  <c r="G18" i="4"/>
  <c r="N18" i="4" s="1"/>
  <c r="P18" i="4" s="1"/>
  <c r="M19" i="4"/>
  <c r="P19" i="4" s="1"/>
  <c r="G20" i="4"/>
  <c r="N20" i="4" s="1"/>
  <c r="P20" i="4" s="1"/>
  <c r="M21" i="4"/>
  <c r="P21" i="4" s="1"/>
  <c r="G22" i="4"/>
  <c r="N22" i="4" s="1"/>
  <c r="P22" i="4" s="1"/>
  <c r="M23" i="4"/>
  <c r="G24" i="4"/>
  <c r="N24" i="4" s="1"/>
  <c r="I10" i="4"/>
  <c r="J10" i="4" s="1"/>
  <c r="I12" i="4"/>
  <c r="J12" i="4" s="1"/>
  <c r="I18" i="4"/>
  <c r="J18" i="4" s="1"/>
  <c r="I22" i="4"/>
  <c r="J22" i="4" s="1"/>
  <c r="I24" i="4"/>
  <c r="J24" i="4" s="1"/>
  <c r="P25" i="4"/>
  <c r="Q8" i="4" l="1"/>
  <c r="R8" i="4"/>
  <c r="R7" i="4"/>
  <c r="Q7" i="4"/>
  <c r="R12" i="4"/>
  <c r="Q12" i="4"/>
  <c r="R21" i="4"/>
  <c r="Q21" i="4"/>
  <c r="Q20" i="4"/>
  <c r="R20" i="4"/>
  <c r="Q18" i="4"/>
  <c r="R18" i="4"/>
  <c r="Q6" i="4"/>
  <c r="R6" i="4"/>
  <c r="Q14" i="4"/>
  <c r="R14" i="4"/>
  <c r="R11" i="4"/>
  <c r="Q11" i="4"/>
  <c r="R9" i="4"/>
  <c r="Q9" i="4"/>
  <c r="R17" i="4"/>
  <c r="Q17" i="4"/>
  <c r="R5" i="4"/>
  <c r="Q5" i="4"/>
  <c r="R15" i="4"/>
  <c r="Q15" i="4"/>
  <c r="R13" i="4"/>
  <c r="Q13" i="4"/>
  <c r="R22" i="4"/>
  <c r="Q22" i="4"/>
  <c r="R19" i="4"/>
  <c r="Q19" i="4"/>
  <c r="R16" i="4"/>
  <c r="Q16" i="4"/>
  <c r="I16" i="4"/>
  <c r="J16" i="4" s="1"/>
  <c r="I14" i="4"/>
  <c r="J14" i="4" s="1"/>
  <c r="I20" i="4"/>
  <c r="J20" i="4" s="1"/>
  <c r="P4" i="4"/>
  <c r="B4" i="5"/>
  <c r="B5" i="5" s="1"/>
  <c r="B6" i="5" s="1"/>
  <c r="B13" i="5"/>
  <c r="R2" i="4"/>
  <c r="Q2" i="4"/>
  <c r="R3" i="4"/>
  <c r="Q3" i="4"/>
  <c r="Q24" i="4"/>
  <c r="R24" i="4"/>
  <c r="I8" i="4"/>
  <c r="R25" i="4"/>
  <c r="Q25" i="4"/>
  <c r="R10" i="4"/>
  <c r="Q10" i="4"/>
  <c r="J8" i="4" l="1"/>
  <c r="B16" i="5"/>
  <c r="B15" i="5"/>
  <c r="Q4" i="4"/>
  <c r="R4" i="4"/>
  <c r="B22" i="5" s="1"/>
  <c r="B21" i="5" l="1"/>
  <c r="B18" i="5"/>
  <c r="B17" i="5"/>
  <c r="B19" i="5" l="1"/>
</calcChain>
</file>

<file path=xl/sharedStrings.xml><?xml version="1.0" encoding="utf-8"?>
<sst xmlns="http://schemas.openxmlformats.org/spreadsheetml/2006/main" count="256" uniqueCount="142">
  <si>
    <t>Invoice Verification &amp; Discrepancy Analysis</t>
  </si>
  <si>
    <t>Sheets:</t>
  </si>
  <si>
    <t>Review_Status column (Verification!R) is a dropdown: Open / Under Review / Resolved. Edit it as you work through exceptions.</t>
  </si>
  <si>
    <t>PO_No</t>
  </si>
  <si>
    <t>Vendor</t>
  </si>
  <si>
    <t>Item</t>
  </si>
  <si>
    <t>PO_Qty</t>
  </si>
  <si>
    <t>PO_Unit_Price</t>
  </si>
  <si>
    <t>PO_Amount</t>
  </si>
  <si>
    <t>PO-5001</t>
  </si>
  <si>
    <t>Sharma Office Supplies</t>
  </si>
  <si>
    <t>A4 Paper Ream</t>
  </si>
  <si>
    <t>PO-5002</t>
  </si>
  <si>
    <t>TechNova Traders</t>
  </si>
  <si>
    <t>Toner Cartridge</t>
  </si>
  <si>
    <t>PO-5003</t>
  </si>
  <si>
    <t>Delhi Stationers</t>
  </si>
  <si>
    <t>USB-C Cable</t>
  </si>
  <si>
    <t>PO-5004</t>
  </si>
  <si>
    <t>Metro IT Solutions</t>
  </si>
  <si>
    <t>Office Chair</t>
  </si>
  <si>
    <t>PO-5005</t>
  </si>
  <si>
    <t>Apex Furnishings</t>
  </si>
  <si>
    <t>Network Switch 8-Port</t>
  </si>
  <si>
    <t>PO-5006</t>
  </si>
  <si>
    <t>Monitor 24 inch</t>
  </si>
  <si>
    <t>PO-5007</t>
  </si>
  <si>
    <t>Whiteboard Marker Box</t>
  </si>
  <si>
    <t>PO-5008</t>
  </si>
  <si>
    <t>Laptop Stand</t>
  </si>
  <si>
    <t>PO-5009</t>
  </si>
  <si>
    <t>Wireless Mouse</t>
  </si>
  <si>
    <t>PO-5010</t>
  </si>
  <si>
    <t>Keyboard</t>
  </si>
  <si>
    <t>PO-5011</t>
  </si>
  <si>
    <t>PO-5012</t>
  </si>
  <si>
    <t>PO-5013</t>
  </si>
  <si>
    <t>PO-5014</t>
  </si>
  <si>
    <t>PO-5015</t>
  </si>
  <si>
    <t>PO-5016</t>
  </si>
  <si>
    <t>PO-5017</t>
  </si>
  <si>
    <t>PO-5018</t>
  </si>
  <si>
    <t>PO-5019</t>
  </si>
  <si>
    <t>PO-5020</t>
  </si>
  <si>
    <t>PO-5021</t>
  </si>
  <si>
    <t>PO-5022</t>
  </si>
  <si>
    <t>PO-5023</t>
  </si>
  <si>
    <t>PO-5024</t>
  </si>
  <si>
    <t>PO-5025</t>
  </si>
  <si>
    <t>Invoice_No</t>
  </si>
  <si>
    <t>Invoice_Date</t>
  </si>
  <si>
    <t>Inv_Qty</t>
  </si>
  <si>
    <t>Inv_Unit_Price</t>
  </si>
  <si>
    <t>Billed_Amount</t>
  </si>
  <si>
    <t>INV-1001</t>
  </si>
  <si>
    <t>2026-07-22</t>
  </si>
  <si>
    <t>INV-1002</t>
  </si>
  <si>
    <t>2026-07-23</t>
  </si>
  <si>
    <t>INV-1003</t>
  </si>
  <si>
    <t>2026-07-24</t>
  </si>
  <si>
    <t>INV-1004</t>
  </si>
  <si>
    <t>2026-07-25</t>
  </si>
  <si>
    <t>INV-1005</t>
  </si>
  <si>
    <t>2026-07-26</t>
  </si>
  <si>
    <t>INV-1006</t>
  </si>
  <si>
    <t>2026-07-27</t>
  </si>
  <si>
    <t>INV-1007</t>
  </si>
  <si>
    <t>2026-07-28</t>
  </si>
  <si>
    <t>INV-1008</t>
  </si>
  <si>
    <t>2026-07-01</t>
  </si>
  <si>
    <t>INV-1009</t>
  </si>
  <si>
    <t>2026-07-02</t>
  </si>
  <si>
    <t>INV-1010</t>
  </si>
  <si>
    <t>2026-07-03</t>
  </si>
  <si>
    <t>INV-1011</t>
  </si>
  <si>
    <t>2026-07-04</t>
  </si>
  <si>
    <t>INV-1012</t>
  </si>
  <si>
    <t>2026-07-05</t>
  </si>
  <si>
    <t>INV-1013</t>
  </si>
  <si>
    <t>2026-07-06</t>
  </si>
  <si>
    <t>INV-1014</t>
  </si>
  <si>
    <t>2026-07-07</t>
  </si>
  <si>
    <t>INV-1015</t>
  </si>
  <si>
    <t>2026-07-08</t>
  </si>
  <si>
    <t>INV-1016</t>
  </si>
  <si>
    <t>2026-07-09</t>
  </si>
  <si>
    <t>INV-1017</t>
  </si>
  <si>
    <t>2026-07-10</t>
  </si>
  <si>
    <t>INV-1018</t>
  </si>
  <si>
    <t>2026-07-11</t>
  </si>
  <si>
    <t>INV-1019</t>
  </si>
  <si>
    <t>2026-07-12</t>
  </si>
  <si>
    <t>INV-1020</t>
  </si>
  <si>
    <t>2026-07-13</t>
  </si>
  <si>
    <t>INV-1022</t>
  </si>
  <si>
    <t>2026-07-15</t>
  </si>
  <si>
    <t>INV-1023</t>
  </si>
  <si>
    <t>2026-07-16</t>
  </si>
  <si>
    <t>INV-1024</t>
  </si>
  <si>
    <t>2026-07-17</t>
  </si>
  <si>
    <t>PO-9999</t>
  </si>
  <si>
    <t>Inv_Price</t>
  </si>
  <si>
    <t>PO_Price</t>
  </si>
  <si>
    <t>Billed</t>
  </si>
  <si>
    <t>Expected (PO Qty x PO Price)</t>
  </si>
  <si>
    <t>Variance</t>
  </si>
  <si>
    <t>Missing_Field</t>
  </si>
  <si>
    <t>Duplicate</t>
  </si>
  <si>
    <t>Qty_Mismatch</t>
  </si>
  <si>
    <t>Price_Mismatch</t>
  </si>
  <si>
    <t>Total_Error</t>
  </si>
  <si>
    <t>Status</t>
  </si>
  <si>
    <t>Exception_Type</t>
  </si>
  <si>
    <t>Review_Status</t>
  </si>
  <si>
    <t>Remarks</t>
  </si>
  <si>
    <t>Verification Summary</t>
  </si>
  <si>
    <t>Total invoices checked</t>
  </si>
  <si>
    <t>Clean invoices</t>
  </si>
  <si>
    <t>Invoices with exceptions</t>
  </si>
  <si>
    <t>Exception rate</t>
  </si>
  <si>
    <t>Missing field</t>
  </si>
  <si>
    <t>Duplicate invoices (rows)</t>
  </si>
  <si>
    <t>Qty mismatch</t>
  </si>
  <si>
    <t>Price mismatch</t>
  </si>
  <si>
    <t>Total calculation error</t>
  </si>
  <si>
    <t>PO not found / missing PO</t>
  </si>
  <si>
    <t>Total billed (matched to a PO)</t>
  </si>
  <si>
    <t>Total expected per PO</t>
  </si>
  <si>
    <t>Overbilled amount</t>
  </si>
  <si>
    <t>Underbilled amount</t>
  </si>
  <si>
    <t>Net variance</t>
  </si>
  <si>
    <t>Open review items</t>
  </si>
  <si>
    <t>Resolved</t>
  </si>
  <si>
    <r>
      <rPr>
        <b/>
        <sz val="10"/>
        <rFont val="Arial"/>
        <family val="2"/>
      </rPr>
      <t>Purpose:</t>
    </r>
    <r>
      <rPr>
        <sz val="10"/>
        <rFont val="Arial"/>
        <charset val="1"/>
      </rPr>
      <t xml:space="preserve"> match vendor invoices against purchase orders and flag quantity, price, total, duplicate and missing-field exceptions.</t>
    </r>
  </si>
  <si>
    <r>
      <rPr>
        <b/>
        <sz val="10"/>
        <rFont val="Arial"/>
        <family val="2"/>
      </rPr>
      <t>Data:</t>
    </r>
    <r>
      <rPr>
        <sz val="10"/>
        <rFont val="Arial"/>
        <charset val="1"/>
      </rPr>
      <t xml:space="preserve"> SAMPLE / dummy records created for this self-directed project. Not real company data.</t>
    </r>
  </si>
  <si>
    <r>
      <rPr>
        <b/>
        <sz val="10"/>
        <rFont val="Arial"/>
        <family val="2"/>
      </rPr>
      <t>Checks performed:</t>
    </r>
    <r>
      <rPr>
        <sz val="10"/>
        <rFont val="Arial"/>
        <charset val="1"/>
      </rPr>
      <t xml:space="preserve"> (1) PO exists, (2) Qty vs PO, (3) Unit price vs PO, (4) Billed = Qty x Price, (5) Duplicate invoice, (6) Any blank field.</t>
    </r>
  </si>
  <si>
    <r>
      <t xml:space="preserve"> </t>
    </r>
    <r>
      <rPr>
        <b/>
        <sz val="10"/>
        <rFont val="Arial"/>
        <family val="2"/>
      </rPr>
      <t xml:space="preserve"> Invoice_Data      </t>
    </r>
    <r>
      <rPr>
        <sz val="10"/>
        <rFont val="Arial"/>
        <charset val="1"/>
      </rPr>
      <t>invoices as received (blue = input). Paste new invoices below the last row and extend Verification formulas down.</t>
    </r>
  </si>
  <si>
    <r>
      <t xml:space="preserve"> </t>
    </r>
    <r>
      <rPr>
        <b/>
        <sz val="10"/>
        <rFont val="Arial"/>
        <family val="2"/>
      </rPr>
      <t xml:space="preserve"> Verification        </t>
    </r>
    <r>
      <rPr>
        <sz val="10"/>
        <rFont val="Arial"/>
        <charset val="1"/>
      </rPr>
      <t>one row per invoice, all checks are formulas (INDEX/MATCH lookup, COUNTIFS duplicates, IF flags).</t>
    </r>
  </si>
  <si>
    <r>
      <t xml:space="preserve"> </t>
    </r>
    <r>
      <rPr>
        <b/>
        <sz val="10"/>
        <rFont val="Arial"/>
        <family val="2"/>
      </rPr>
      <t xml:space="preserve"> Summary           </t>
    </r>
    <r>
      <rPr>
        <sz val="10"/>
        <rFont val="Arial"/>
        <charset val="1"/>
      </rPr>
      <t>exception counts, rates and amounts (all formulas).</t>
    </r>
  </si>
  <si>
    <r>
      <rPr>
        <b/>
        <sz val="10"/>
        <rFont val="Arial"/>
        <family val="2"/>
      </rPr>
      <t>Note:</t>
    </r>
    <r>
      <rPr>
        <sz val="10"/>
        <rFont val="Arial"/>
        <family val="2"/>
      </rPr>
      <t xml:space="preserve"> INDEX/MATCH is used instead of XLOOKUP so the file works in every Excel version. XLOOKUP is a drop-in alternative.</t>
    </r>
  </si>
  <si>
    <r>
      <rPr>
        <b/>
        <sz val="10"/>
        <rFont val="Arial"/>
        <family val="2"/>
      </rPr>
      <t>Assumption:</t>
    </r>
    <r>
      <rPr>
        <sz val="10"/>
        <rFont val="Arial"/>
        <charset val="1"/>
      </rPr>
      <t xml:space="preserve"> amount tolerance is Rs 0.01 (rounding only). Currency: INR.</t>
    </r>
  </si>
  <si>
    <r>
      <t xml:space="preserve"> </t>
    </r>
    <r>
      <rPr>
        <b/>
        <sz val="10"/>
        <rFont val="Arial"/>
        <family val="2"/>
      </rPr>
      <t xml:space="preserve"> PO_Data           </t>
    </r>
    <r>
      <rPr>
        <sz val="10"/>
        <rFont val="Arial"/>
        <charset val="1"/>
      </rPr>
      <t>purchase orders (blue = input). PO_Amount is a formula.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</si>
</sst>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.00;&quot;(₹&quot;#,##0.00\);\-"/>
    <numFmt numFmtId="165" formatCode="0.0%"/>
  </numFmts>
  <fonts count="9" x14ac:knownFonts="1"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charset val="1"/>
    </font>
    <font>
      <b/>
      <sz val="14"/>
      <color theme="0"/>
      <name val="Arial"/>
      <family val="2"/>
    </font>
    <font>
      <sz val="11"/>
      <color theme="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164" fontId="3" fillId="0" borderId="1" xfId="0" applyNumberFormat="1" applyFont="1" applyBorder="1"/>
    <xf numFmtId="164" fontId="1" fillId="0" borderId="1" xfId="0" applyNumberFormat="1" applyFont="1" applyBorder="1"/>
    <xf numFmtId="0" fontId="1" fillId="0" borderId="1" xfId="0" applyFont="1" applyBorder="1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5" fillId="0" borderId="3" xfId="0" applyFont="1" applyBorder="1"/>
    <xf numFmtId="0" fontId="5" fillId="0" borderId="6" xfId="0" applyFont="1" applyBorder="1"/>
    <xf numFmtId="0" fontId="1" fillId="0" borderId="6" xfId="0" applyFont="1" applyBorder="1"/>
    <xf numFmtId="0" fontId="5" fillId="0" borderId="0" xfId="0" applyFont="1" applyBorder="1"/>
    <xf numFmtId="0" fontId="4" fillId="0" borderId="2" xfId="0" applyFont="1" applyBorder="1"/>
    <xf numFmtId="165" fontId="4" fillId="0" borderId="2" xfId="0" applyNumberFormat="1" applyFont="1" applyBorder="1"/>
    <xf numFmtId="0" fontId="6" fillId="0" borderId="2" xfId="0" applyFont="1" applyBorder="1"/>
    <xf numFmtId="164" fontId="4" fillId="0" borderId="2" xfId="0" applyNumberFormat="1" applyFont="1" applyBorder="1"/>
    <xf numFmtId="0" fontId="7" fillId="3" borderId="0" xfId="0" applyFont="1" applyFill="1"/>
    <xf numFmtId="0" fontId="7" fillId="4" borderId="11" xfId="0" applyFont="1" applyFill="1" applyBorder="1"/>
    <xf numFmtId="0" fontId="8" fillId="4" borderId="12" xfId="0" applyFont="1" applyFill="1" applyBorder="1"/>
    <xf numFmtId="0" fontId="8" fillId="4" borderId="13" xfId="0" applyFont="1" applyFill="1" applyBorder="1"/>
  </cellXfs>
  <cellStyles count="1">
    <cellStyle name="Normal" xfId="0" builtinId="0"/>
  </cellStyles>
  <dxfs count="3"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zoomScaleNormal="100" workbookViewId="0">
      <selection activeCell="H22" sqref="H22"/>
    </sheetView>
  </sheetViews>
  <sheetFormatPr defaultColWidth="8.6640625" defaultRowHeight="14.4" x14ac:dyDescent="0.3"/>
  <cols>
    <col min="1" max="1" width="14.33203125" customWidth="1"/>
    <col min="2" max="2" width="16.44140625" customWidth="1"/>
    <col min="3" max="4" width="8.6640625" customWidth="1"/>
    <col min="5" max="5" width="9.5546875" customWidth="1"/>
  </cols>
  <sheetData>
    <row r="1" spans="1:13" ht="18" thickBot="1" x14ac:dyDescent="0.35">
      <c r="A1" s="23" t="s">
        <v>0</v>
      </c>
      <c r="B1" s="24"/>
      <c r="C1" s="24"/>
      <c r="D1" s="24"/>
      <c r="E1" s="25"/>
    </row>
    <row r="2" spans="1:13" ht="15" thickBot="1" x14ac:dyDescent="0.35"/>
    <row r="3" spans="1:13" x14ac:dyDescent="0.3">
      <c r="A3" s="14" t="s">
        <v>133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8"/>
    </row>
    <row r="4" spans="1:13" x14ac:dyDescent="0.3">
      <c r="A4" s="15" t="s">
        <v>134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10"/>
    </row>
    <row r="5" spans="1:13" x14ac:dyDescent="0.3">
      <c r="A5" s="16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0"/>
    </row>
    <row r="6" spans="1:13" x14ac:dyDescent="0.3">
      <c r="A6" s="16" t="s">
        <v>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10"/>
    </row>
    <row r="7" spans="1:13" x14ac:dyDescent="0.3">
      <c r="A7" s="17" t="s">
        <v>141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10"/>
    </row>
    <row r="8" spans="1:13" x14ac:dyDescent="0.3">
      <c r="A8" s="17" t="s">
        <v>136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10"/>
    </row>
    <row r="9" spans="1:13" x14ac:dyDescent="0.3">
      <c r="A9" s="17" t="s">
        <v>137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10"/>
    </row>
    <row r="10" spans="1:13" x14ac:dyDescent="0.3">
      <c r="A10" s="17" t="s">
        <v>138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10"/>
    </row>
    <row r="11" spans="1:13" x14ac:dyDescent="0.3">
      <c r="A11" s="16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10"/>
    </row>
    <row r="12" spans="1:13" x14ac:dyDescent="0.3">
      <c r="A12" s="15" t="s">
        <v>135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10"/>
    </row>
    <row r="13" spans="1:13" x14ac:dyDescent="0.3">
      <c r="A13" s="16" t="s">
        <v>2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10"/>
    </row>
    <row r="14" spans="1:13" x14ac:dyDescent="0.3">
      <c r="A14" s="16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10"/>
    </row>
    <row r="15" spans="1:13" x14ac:dyDescent="0.3">
      <c r="A15" s="15" t="s">
        <v>139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10"/>
    </row>
    <row r="16" spans="1:13" x14ac:dyDescent="0.3">
      <c r="A16" s="15" t="s">
        <v>140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10"/>
    </row>
    <row r="17" spans="1:13" ht="15" thickBot="1" x14ac:dyDescent="0.35">
      <c r="A17" s="11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26" customWidth="1"/>
    <col min="3" max="3" width="24" customWidth="1"/>
    <col min="4" max="4" width="10" customWidth="1"/>
    <col min="5" max="5" width="15" customWidth="1"/>
    <col min="6" max="6" width="16" customWidth="1"/>
  </cols>
  <sheetData>
    <row r="1" spans="1:6" ht="31.5" customHeight="1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</row>
    <row r="2" spans="1:6" x14ac:dyDescent="0.3">
      <c r="A2" s="2" t="s">
        <v>9</v>
      </c>
      <c r="B2" s="2" t="s">
        <v>10</v>
      </c>
      <c r="C2" s="2" t="s">
        <v>11</v>
      </c>
      <c r="D2" s="2">
        <v>12</v>
      </c>
      <c r="E2" s="3">
        <v>285</v>
      </c>
      <c r="F2" s="4">
        <f t="shared" ref="F2:F26" si="0">D2*E2</f>
        <v>3420</v>
      </c>
    </row>
    <row r="3" spans="1:6" x14ac:dyDescent="0.3">
      <c r="A3" s="2" t="s">
        <v>12</v>
      </c>
      <c r="B3" s="2" t="s">
        <v>13</v>
      </c>
      <c r="C3" s="2" t="s">
        <v>14</v>
      </c>
      <c r="D3" s="2">
        <v>10</v>
      </c>
      <c r="E3" s="3">
        <v>3450</v>
      </c>
      <c r="F3" s="4">
        <f t="shared" si="0"/>
        <v>34500</v>
      </c>
    </row>
    <row r="4" spans="1:6" x14ac:dyDescent="0.3">
      <c r="A4" s="2" t="s">
        <v>15</v>
      </c>
      <c r="B4" s="2" t="s">
        <v>16</v>
      </c>
      <c r="C4" s="2" t="s">
        <v>17</v>
      </c>
      <c r="D4" s="2">
        <v>20</v>
      </c>
      <c r="E4" s="3">
        <v>420</v>
      </c>
      <c r="F4" s="4">
        <f t="shared" si="0"/>
        <v>8400</v>
      </c>
    </row>
    <row r="5" spans="1:6" x14ac:dyDescent="0.3">
      <c r="A5" s="2" t="s">
        <v>18</v>
      </c>
      <c r="B5" s="2" t="s">
        <v>19</v>
      </c>
      <c r="C5" s="2" t="s">
        <v>20</v>
      </c>
      <c r="D5" s="2">
        <v>40</v>
      </c>
      <c r="E5" s="3">
        <v>6800</v>
      </c>
      <c r="F5" s="4">
        <f t="shared" si="0"/>
        <v>272000</v>
      </c>
    </row>
    <row r="6" spans="1:6" x14ac:dyDescent="0.3">
      <c r="A6" s="2" t="s">
        <v>21</v>
      </c>
      <c r="B6" s="2" t="s">
        <v>22</v>
      </c>
      <c r="C6" s="2" t="s">
        <v>23</v>
      </c>
      <c r="D6" s="2">
        <v>5</v>
      </c>
      <c r="E6" s="3">
        <v>2950</v>
      </c>
      <c r="F6" s="4">
        <f t="shared" si="0"/>
        <v>14750</v>
      </c>
    </row>
    <row r="7" spans="1:6" x14ac:dyDescent="0.3">
      <c r="A7" s="2" t="s">
        <v>24</v>
      </c>
      <c r="B7" s="2" t="s">
        <v>10</v>
      </c>
      <c r="C7" s="2" t="s">
        <v>25</v>
      </c>
      <c r="D7" s="2">
        <v>5</v>
      </c>
      <c r="E7" s="3">
        <v>9800</v>
      </c>
      <c r="F7" s="4">
        <f t="shared" si="0"/>
        <v>49000</v>
      </c>
    </row>
    <row r="8" spans="1:6" x14ac:dyDescent="0.3">
      <c r="A8" s="2" t="s">
        <v>26</v>
      </c>
      <c r="B8" s="2" t="s">
        <v>13</v>
      </c>
      <c r="C8" s="2" t="s">
        <v>27</v>
      </c>
      <c r="D8" s="2">
        <v>25</v>
      </c>
      <c r="E8" s="3">
        <v>360</v>
      </c>
      <c r="F8" s="4">
        <f t="shared" si="0"/>
        <v>9000</v>
      </c>
    </row>
    <row r="9" spans="1:6" x14ac:dyDescent="0.3">
      <c r="A9" s="2" t="s">
        <v>28</v>
      </c>
      <c r="B9" s="2" t="s">
        <v>16</v>
      </c>
      <c r="C9" s="2" t="s">
        <v>29</v>
      </c>
      <c r="D9" s="2">
        <v>5</v>
      </c>
      <c r="E9" s="3">
        <v>1250</v>
      </c>
      <c r="F9" s="4">
        <f t="shared" si="0"/>
        <v>6250</v>
      </c>
    </row>
    <row r="10" spans="1:6" x14ac:dyDescent="0.3">
      <c r="A10" s="2" t="s">
        <v>30</v>
      </c>
      <c r="B10" s="2" t="s">
        <v>19</v>
      </c>
      <c r="C10" s="2" t="s">
        <v>31</v>
      </c>
      <c r="D10" s="2">
        <v>12</v>
      </c>
      <c r="E10" s="3">
        <v>780</v>
      </c>
      <c r="F10" s="4">
        <f t="shared" si="0"/>
        <v>9360</v>
      </c>
    </row>
    <row r="11" spans="1:6" x14ac:dyDescent="0.3">
      <c r="A11" s="2" t="s">
        <v>32</v>
      </c>
      <c r="B11" s="2" t="s">
        <v>22</v>
      </c>
      <c r="C11" s="2" t="s">
        <v>33</v>
      </c>
      <c r="D11" s="2">
        <v>25</v>
      </c>
      <c r="E11" s="3">
        <v>1150</v>
      </c>
      <c r="F11" s="4">
        <f t="shared" si="0"/>
        <v>28750</v>
      </c>
    </row>
    <row r="12" spans="1:6" x14ac:dyDescent="0.3">
      <c r="A12" s="2" t="s">
        <v>34</v>
      </c>
      <c r="B12" s="2" t="s">
        <v>10</v>
      </c>
      <c r="C12" s="2" t="s">
        <v>11</v>
      </c>
      <c r="D12" s="2">
        <v>5</v>
      </c>
      <c r="E12" s="3">
        <v>285</v>
      </c>
      <c r="F12" s="4">
        <f t="shared" si="0"/>
        <v>1425</v>
      </c>
    </row>
    <row r="13" spans="1:6" x14ac:dyDescent="0.3">
      <c r="A13" s="2" t="s">
        <v>35</v>
      </c>
      <c r="B13" s="2" t="s">
        <v>13</v>
      </c>
      <c r="C13" s="2" t="s">
        <v>14</v>
      </c>
      <c r="D13" s="2">
        <v>25</v>
      </c>
      <c r="E13" s="3">
        <v>3450</v>
      </c>
      <c r="F13" s="4">
        <f t="shared" si="0"/>
        <v>86250</v>
      </c>
    </row>
    <row r="14" spans="1:6" x14ac:dyDescent="0.3">
      <c r="A14" s="2" t="s">
        <v>36</v>
      </c>
      <c r="B14" s="2" t="s">
        <v>16</v>
      </c>
      <c r="C14" s="2" t="s">
        <v>17</v>
      </c>
      <c r="D14" s="2">
        <v>10</v>
      </c>
      <c r="E14" s="3">
        <v>420</v>
      </c>
      <c r="F14" s="4">
        <f t="shared" si="0"/>
        <v>4200</v>
      </c>
    </row>
    <row r="15" spans="1:6" x14ac:dyDescent="0.3">
      <c r="A15" s="2" t="s">
        <v>37</v>
      </c>
      <c r="B15" s="2" t="s">
        <v>19</v>
      </c>
      <c r="C15" s="2" t="s">
        <v>20</v>
      </c>
      <c r="D15" s="2">
        <v>5</v>
      </c>
      <c r="E15" s="3">
        <v>6800</v>
      </c>
      <c r="F15" s="4">
        <f t="shared" si="0"/>
        <v>34000</v>
      </c>
    </row>
    <row r="16" spans="1:6" x14ac:dyDescent="0.3">
      <c r="A16" s="2" t="s">
        <v>38</v>
      </c>
      <c r="B16" s="2" t="s">
        <v>22</v>
      </c>
      <c r="C16" s="2" t="s">
        <v>23</v>
      </c>
      <c r="D16" s="2">
        <v>5</v>
      </c>
      <c r="E16" s="3">
        <v>2950</v>
      </c>
      <c r="F16" s="4">
        <f t="shared" si="0"/>
        <v>14750</v>
      </c>
    </row>
    <row r="17" spans="1:6" x14ac:dyDescent="0.3">
      <c r="A17" s="2" t="s">
        <v>39</v>
      </c>
      <c r="B17" s="2" t="s">
        <v>10</v>
      </c>
      <c r="C17" s="2" t="s">
        <v>25</v>
      </c>
      <c r="D17" s="2">
        <v>20</v>
      </c>
      <c r="E17" s="3">
        <v>9800</v>
      </c>
      <c r="F17" s="4">
        <f t="shared" si="0"/>
        <v>196000</v>
      </c>
    </row>
    <row r="18" spans="1:6" x14ac:dyDescent="0.3">
      <c r="A18" s="2" t="s">
        <v>40</v>
      </c>
      <c r="B18" s="2" t="s">
        <v>13</v>
      </c>
      <c r="C18" s="2" t="s">
        <v>27</v>
      </c>
      <c r="D18" s="2">
        <v>20</v>
      </c>
      <c r="E18" s="3">
        <v>360</v>
      </c>
      <c r="F18" s="4">
        <f t="shared" si="0"/>
        <v>7200</v>
      </c>
    </row>
    <row r="19" spans="1:6" x14ac:dyDescent="0.3">
      <c r="A19" s="2" t="s">
        <v>41</v>
      </c>
      <c r="B19" s="2" t="s">
        <v>16</v>
      </c>
      <c r="C19" s="2" t="s">
        <v>29</v>
      </c>
      <c r="D19" s="2">
        <v>5</v>
      </c>
      <c r="E19" s="3">
        <v>1250</v>
      </c>
      <c r="F19" s="4">
        <f t="shared" si="0"/>
        <v>6250</v>
      </c>
    </row>
    <row r="20" spans="1:6" x14ac:dyDescent="0.3">
      <c r="A20" s="2" t="s">
        <v>42</v>
      </c>
      <c r="B20" s="2" t="s">
        <v>19</v>
      </c>
      <c r="C20" s="2" t="s">
        <v>31</v>
      </c>
      <c r="D20" s="2">
        <v>10</v>
      </c>
      <c r="E20" s="3">
        <v>780</v>
      </c>
      <c r="F20" s="4">
        <f t="shared" si="0"/>
        <v>7800</v>
      </c>
    </row>
    <row r="21" spans="1:6" x14ac:dyDescent="0.3">
      <c r="A21" s="2" t="s">
        <v>43</v>
      </c>
      <c r="B21" s="2" t="s">
        <v>22</v>
      </c>
      <c r="C21" s="2" t="s">
        <v>33</v>
      </c>
      <c r="D21" s="2">
        <v>5</v>
      </c>
      <c r="E21" s="3">
        <v>1150</v>
      </c>
      <c r="F21" s="4">
        <f t="shared" si="0"/>
        <v>5750</v>
      </c>
    </row>
    <row r="22" spans="1:6" x14ac:dyDescent="0.3">
      <c r="A22" s="2" t="s">
        <v>44</v>
      </c>
      <c r="B22" s="2" t="s">
        <v>10</v>
      </c>
      <c r="C22" s="2" t="s">
        <v>11</v>
      </c>
      <c r="D22" s="2">
        <v>25</v>
      </c>
      <c r="E22" s="3">
        <v>285</v>
      </c>
      <c r="F22" s="4">
        <f t="shared" si="0"/>
        <v>7125</v>
      </c>
    </row>
    <row r="23" spans="1:6" x14ac:dyDescent="0.3">
      <c r="A23" s="2" t="s">
        <v>45</v>
      </c>
      <c r="B23" s="2" t="s">
        <v>13</v>
      </c>
      <c r="C23" s="2" t="s">
        <v>14</v>
      </c>
      <c r="D23" s="2">
        <v>20</v>
      </c>
      <c r="E23" s="3">
        <v>3450</v>
      </c>
      <c r="F23" s="4">
        <f t="shared" si="0"/>
        <v>69000</v>
      </c>
    </row>
    <row r="24" spans="1:6" x14ac:dyDescent="0.3">
      <c r="A24" s="2" t="s">
        <v>46</v>
      </c>
      <c r="B24" s="2" t="s">
        <v>16</v>
      </c>
      <c r="C24" s="2" t="s">
        <v>17</v>
      </c>
      <c r="D24" s="2">
        <v>5</v>
      </c>
      <c r="E24" s="3">
        <v>420</v>
      </c>
      <c r="F24" s="4">
        <f t="shared" si="0"/>
        <v>2100</v>
      </c>
    </row>
    <row r="25" spans="1:6" x14ac:dyDescent="0.3">
      <c r="A25" s="2" t="s">
        <v>47</v>
      </c>
      <c r="B25" s="2" t="s">
        <v>19</v>
      </c>
      <c r="C25" s="2" t="s">
        <v>20</v>
      </c>
      <c r="D25" s="2">
        <v>25</v>
      </c>
      <c r="E25" s="3">
        <v>6800</v>
      </c>
      <c r="F25" s="4">
        <f t="shared" si="0"/>
        <v>170000</v>
      </c>
    </row>
    <row r="26" spans="1:6" x14ac:dyDescent="0.3">
      <c r="A26" s="2" t="s">
        <v>48</v>
      </c>
      <c r="B26" s="2" t="s">
        <v>22</v>
      </c>
      <c r="C26" s="2" t="s">
        <v>23</v>
      </c>
      <c r="D26" s="2">
        <v>5</v>
      </c>
      <c r="E26" s="3">
        <v>2950</v>
      </c>
      <c r="F26" s="4">
        <f t="shared" si="0"/>
        <v>14750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13" customWidth="1"/>
    <col min="3" max="3" width="26" customWidth="1"/>
    <col min="4" max="4" width="12" customWidth="1"/>
    <col min="5" max="5" width="24" customWidth="1"/>
    <col min="6" max="6" width="10" customWidth="1"/>
    <col min="7" max="7" width="15" customWidth="1"/>
    <col min="8" max="8" width="16" customWidth="1"/>
  </cols>
  <sheetData>
    <row r="1" spans="1:8" ht="31.5" customHeight="1" x14ac:dyDescent="0.3">
      <c r="A1" s="1" t="s">
        <v>49</v>
      </c>
      <c r="B1" s="1" t="s">
        <v>50</v>
      </c>
      <c r="C1" s="1" t="s">
        <v>4</v>
      </c>
      <c r="D1" s="1" t="s">
        <v>3</v>
      </c>
      <c r="E1" s="1" t="s">
        <v>5</v>
      </c>
      <c r="F1" s="1" t="s">
        <v>51</v>
      </c>
      <c r="G1" s="1" t="s">
        <v>52</v>
      </c>
      <c r="H1" s="1" t="s">
        <v>53</v>
      </c>
    </row>
    <row r="2" spans="1:8" x14ac:dyDescent="0.3">
      <c r="A2" s="2" t="s">
        <v>54</v>
      </c>
      <c r="B2" s="2" t="s">
        <v>55</v>
      </c>
      <c r="C2" s="2" t="s">
        <v>10</v>
      </c>
      <c r="D2" s="2" t="s">
        <v>9</v>
      </c>
      <c r="E2" s="2" t="s">
        <v>11</v>
      </c>
      <c r="F2" s="2">
        <v>12</v>
      </c>
      <c r="G2" s="3">
        <v>285</v>
      </c>
      <c r="H2" s="3">
        <v>3420</v>
      </c>
    </row>
    <row r="3" spans="1:8" x14ac:dyDescent="0.3">
      <c r="A3" s="2" t="s">
        <v>56</v>
      </c>
      <c r="B3" s="2" t="s">
        <v>57</v>
      </c>
      <c r="C3" s="2" t="s">
        <v>13</v>
      </c>
      <c r="D3" s="2" t="s">
        <v>12</v>
      </c>
      <c r="E3" s="2" t="s">
        <v>14</v>
      </c>
      <c r="F3" s="2">
        <v>10</v>
      </c>
      <c r="G3" s="3">
        <v>3450</v>
      </c>
      <c r="H3" s="3">
        <v>34500</v>
      </c>
    </row>
    <row r="4" spans="1:8" x14ac:dyDescent="0.3">
      <c r="A4" s="2" t="s">
        <v>58</v>
      </c>
      <c r="B4" s="2" t="s">
        <v>59</v>
      </c>
      <c r="C4" s="2" t="s">
        <v>16</v>
      </c>
      <c r="D4" s="2" t="s">
        <v>15</v>
      </c>
      <c r="E4" s="2" t="s">
        <v>17</v>
      </c>
      <c r="F4" s="2">
        <v>20</v>
      </c>
      <c r="G4" s="3">
        <v>420</v>
      </c>
      <c r="H4" s="3">
        <v>8400</v>
      </c>
    </row>
    <row r="5" spans="1:8" x14ac:dyDescent="0.3">
      <c r="A5" s="2" t="s">
        <v>60</v>
      </c>
      <c r="B5" s="2" t="s">
        <v>61</v>
      </c>
      <c r="C5" s="2" t="s">
        <v>19</v>
      </c>
      <c r="D5" s="2" t="s">
        <v>18</v>
      </c>
      <c r="E5" s="2" t="s">
        <v>20</v>
      </c>
      <c r="F5" s="2">
        <v>40</v>
      </c>
      <c r="G5" s="3">
        <v>6800</v>
      </c>
      <c r="H5" s="3">
        <v>272000</v>
      </c>
    </row>
    <row r="6" spans="1:8" x14ac:dyDescent="0.3">
      <c r="A6" s="2" t="s">
        <v>62</v>
      </c>
      <c r="B6" s="2" t="s">
        <v>63</v>
      </c>
      <c r="C6" s="2" t="s">
        <v>22</v>
      </c>
      <c r="D6" s="2" t="s">
        <v>21</v>
      </c>
      <c r="E6" s="2" t="s">
        <v>23</v>
      </c>
      <c r="F6" s="2">
        <v>5</v>
      </c>
      <c r="G6" s="3">
        <v>2950</v>
      </c>
      <c r="H6" s="3">
        <v>14750</v>
      </c>
    </row>
    <row r="7" spans="1:8" x14ac:dyDescent="0.3">
      <c r="A7" s="2" t="s">
        <v>64</v>
      </c>
      <c r="B7" s="2" t="s">
        <v>65</v>
      </c>
      <c r="C7" s="2" t="s">
        <v>10</v>
      </c>
      <c r="D7" s="2" t="s">
        <v>24</v>
      </c>
      <c r="E7" s="2" t="s">
        <v>25</v>
      </c>
      <c r="F7" s="2">
        <v>5</v>
      </c>
      <c r="G7" s="3">
        <v>9800</v>
      </c>
      <c r="H7" s="3">
        <v>49000</v>
      </c>
    </row>
    <row r="8" spans="1:8" x14ac:dyDescent="0.3">
      <c r="A8" s="2" t="s">
        <v>66</v>
      </c>
      <c r="B8" s="2" t="s">
        <v>67</v>
      </c>
      <c r="C8" s="2" t="s">
        <v>13</v>
      </c>
      <c r="D8" s="2" t="s">
        <v>26</v>
      </c>
      <c r="E8" s="2" t="s">
        <v>27</v>
      </c>
      <c r="F8" s="2">
        <v>25</v>
      </c>
      <c r="G8" s="3">
        <v>360</v>
      </c>
      <c r="H8" s="3">
        <v>9000</v>
      </c>
    </row>
    <row r="9" spans="1:8" x14ac:dyDescent="0.3">
      <c r="A9" s="2" t="s">
        <v>68</v>
      </c>
      <c r="B9" s="2" t="s">
        <v>69</v>
      </c>
      <c r="C9" s="2" t="s">
        <v>16</v>
      </c>
      <c r="D9" s="2" t="s">
        <v>28</v>
      </c>
      <c r="E9" s="2" t="s">
        <v>29</v>
      </c>
      <c r="F9" s="2">
        <v>5</v>
      </c>
      <c r="G9" s="3">
        <v>1250</v>
      </c>
      <c r="H9" s="3">
        <v>6250</v>
      </c>
    </row>
    <row r="10" spans="1:8" x14ac:dyDescent="0.3">
      <c r="A10" s="2" t="s">
        <v>70</v>
      </c>
      <c r="B10" s="2" t="s">
        <v>71</v>
      </c>
      <c r="C10" s="2" t="s">
        <v>19</v>
      </c>
      <c r="D10" s="2" t="s">
        <v>30</v>
      </c>
      <c r="E10" s="2" t="s">
        <v>31</v>
      </c>
      <c r="F10" s="2">
        <v>12</v>
      </c>
      <c r="G10" s="3">
        <v>780</v>
      </c>
      <c r="H10" s="3">
        <v>9360</v>
      </c>
    </row>
    <row r="11" spans="1:8" x14ac:dyDescent="0.3">
      <c r="A11" s="2" t="s">
        <v>72</v>
      </c>
      <c r="B11" s="2" t="s">
        <v>73</v>
      </c>
      <c r="C11" s="2" t="s">
        <v>22</v>
      </c>
      <c r="D11" s="2" t="s">
        <v>32</v>
      </c>
      <c r="E11" s="2" t="s">
        <v>33</v>
      </c>
      <c r="F11" s="2">
        <v>25</v>
      </c>
      <c r="G11" s="3">
        <v>1150</v>
      </c>
      <c r="H11" s="3">
        <v>28750</v>
      </c>
    </row>
    <row r="12" spans="1:8" x14ac:dyDescent="0.3">
      <c r="A12" s="2" t="s">
        <v>74</v>
      </c>
      <c r="B12" s="2" t="s">
        <v>75</v>
      </c>
      <c r="C12" s="2" t="s">
        <v>10</v>
      </c>
      <c r="D12" s="2" t="s">
        <v>34</v>
      </c>
      <c r="E12" s="2" t="s">
        <v>11</v>
      </c>
      <c r="F12" s="2">
        <v>5</v>
      </c>
      <c r="G12" s="3">
        <v>285</v>
      </c>
      <c r="H12" s="3">
        <v>1425</v>
      </c>
    </row>
    <row r="13" spans="1:8" x14ac:dyDescent="0.3">
      <c r="A13" s="2" t="s">
        <v>76</v>
      </c>
      <c r="B13" s="2" t="s">
        <v>77</v>
      </c>
      <c r="C13" s="2" t="s">
        <v>13</v>
      </c>
      <c r="D13" s="2" t="s">
        <v>35</v>
      </c>
      <c r="E13" s="2" t="s">
        <v>14</v>
      </c>
      <c r="F13" s="2">
        <v>25</v>
      </c>
      <c r="G13" s="3">
        <v>3450</v>
      </c>
      <c r="H13" s="3">
        <v>86250</v>
      </c>
    </row>
    <row r="14" spans="1:8" x14ac:dyDescent="0.3">
      <c r="A14" s="2" t="s">
        <v>78</v>
      </c>
      <c r="B14" s="2" t="s">
        <v>79</v>
      </c>
      <c r="C14" s="2" t="s">
        <v>16</v>
      </c>
      <c r="D14" s="2" t="s">
        <v>36</v>
      </c>
      <c r="E14" s="2" t="s">
        <v>17</v>
      </c>
      <c r="F14" s="2">
        <v>10</v>
      </c>
      <c r="G14" s="3">
        <v>420</v>
      </c>
      <c r="H14" s="3">
        <v>4200</v>
      </c>
    </row>
    <row r="15" spans="1:8" x14ac:dyDescent="0.3">
      <c r="A15" s="2" t="s">
        <v>80</v>
      </c>
      <c r="B15" s="2" t="s">
        <v>81</v>
      </c>
      <c r="C15" s="2" t="s">
        <v>19</v>
      </c>
      <c r="D15" s="2" t="s">
        <v>37</v>
      </c>
      <c r="E15" s="2" t="s">
        <v>20</v>
      </c>
      <c r="F15" s="2">
        <v>5</v>
      </c>
      <c r="G15" s="3">
        <v>6800</v>
      </c>
      <c r="H15" s="3">
        <v>34000</v>
      </c>
    </row>
    <row r="16" spans="1:8" x14ac:dyDescent="0.3">
      <c r="A16" s="2" t="s">
        <v>82</v>
      </c>
      <c r="B16" s="2" t="s">
        <v>83</v>
      </c>
      <c r="C16" s="2" t="s">
        <v>22</v>
      </c>
      <c r="D16" s="2" t="s">
        <v>38</v>
      </c>
      <c r="E16" s="2" t="s">
        <v>23</v>
      </c>
      <c r="F16" s="2">
        <v>5</v>
      </c>
      <c r="G16" s="3">
        <v>2950</v>
      </c>
      <c r="H16" s="3">
        <v>14750</v>
      </c>
    </row>
    <row r="17" spans="1:8" x14ac:dyDescent="0.3">
      <c r="A17" s="2" t="s">
        <v>84</v>
      </c>
      <c r="B17" s="2" t="s">
        <v>85</v>
      </c>
      <c r="C17" s="2" t="s">
        <v>10</v>
      </c>
      <c r="D17" s="2" t="s">
        <v>39</v>
      </c>
      <c r="E17" s="2" t="s">
        <v>25</v>
      </c>
      <c r="F17" s="2">
        <v>20</v>
      </c>
      <c r="G17" s="3">
        <v>9800</v>
      </c>
      <c r="H17" s="3">
        <v>196000</v>
      </c>
    </row>
    <row r="18" spans="1:8" x14ac:dyDescent="0.3">
      <c r="A18" s="2" t="s">
        <v>86</v>
      </c>
      <c r="B18" s="2" t="s">
        <v>87</v>
      </c>
      <c r="C18" s="2" t="s">
        <v>13</v>
      </c>
      <c r="D18" s="2" t="s">
        <v>40</v>
      </c>
      <c r="E18" s="2" t="s">
        <v>27</v>
      </c>
      <c r="F18" s="2">
        <v>20</v>
      </c>
      <c r="G18" s="3">
        <v>360</v>
      </c>
      <c r="H18" s="3">
        <v>7200</v>
      </c>
    </row>
    <row r="19" spans="1:8" x14ac:dyDescent="0.3">
      <c r="A19" s="2" t="s">
        <v>88</v>
      </c>
      <c r="B19" s="2" t="s">
        <v>89</v>
      </c>
      <c r="C19" s="2" t="s">
        <v>16</v>
      </c>
      <c r="D19" s="2" t="s">
        <v>41</v>
      </c>
      <c r="E19" s="2" t="s">
        <v>29</v>
      </c>
      <c r="F19" s="2">
        <v>5</v>
      </c>
      <c r="G19" s="3">
        <v>1400</v>
      </c>
      <c r="H19" s="3">
        <v>7000</v>
      </c>
    </row>
    <row r="20" spans="1:8" x14ac:dyDescent="0.3">
      <c r="A20" s="2" t="s">
        <v>90</v>
      </c>
      <c r="B20" s="2" t="s">
        <v>91</v>
      </c>
      <c r="C20" s="2" t="s">
        <v>19</v>
      </c>
      <c r="D20" s="2" t="s">
        <v>42</v>
      </c>
      <c r="E20" s="2" t="s">
        <v>31</v>
      </c>
      <c r="F20" s="2">
        <v>15</v>
      </c>
      <c r="G20" s="3">
        <v>780</v>
      </c>
      <c r="H20" s="3">
        <v>11700</v>
      </c>
    </row>
    <row r="21" spans="1:8" x14ac:dyDescent="0.3">
      <c r="A21" s="2" t="s">
        <v>92</v>
      </c>
      <c r="B21" s="2" t="s">
        <v>93</v>
      </c>
      <c r="C21" s="2" t="s">
        <v>22</v>
      </c>
      <c r="D21" s="2" t="s">
        <v>43</v>
      </c>
      <c r="E21" s="2" t="s">
        <v>33</v>
      </c>
      <c r="F21" s="2">
        <v>5</v>
      </c>
      <c r="G21" s="3">
        <v>1150</v>
      </c>
      <c r="H21" s="3">
        <v>7550</v>
      </c>
    </row>
    <row r="22" spans="1:8" x14ac:dyDescent="0.3">
      <c r="A22" s="2" t="s">
        <v>62</v>
      </c>
      <c r="B22" s="2" t="s">
        <v>63</v>
      </c>
      <c r="C22" s="2" t="s">
        <v>22</v>
      </c>
      <c r="D22" s="2" t="s">
        <v>21</v>
      </c>
      <c r="E22" s="2" t="s">
        <v>23</v>
      </c>
      <c r="F22" s="2">
        <v>5</v>
      </c>
      <c r="G22" s="3">
        <v>2950</v>
      </c>
      <c r="H22" s="3">
        <v>14750</v>
      </c>
    </row>
    <row r="23" spans="1:8" x14ac:dyDescent="0.3">
      <c r="A23" s="2" t="s">
        <v>94</v>
      </c>
      <c r="B23" s="2" t="s">
        <v>95</v>
      </c>
      <c r="C23" s="2" t="s">
        <v>10</v>
      </c>
      <c r="D23" s="2"/>
      <c r="E23" s="2" t="s">
        <v>11</v>
      </c>
      <c r="F23" s="2">
        <v>25</v>
      </c>
      <c r="G23" s="3">
        <v>285</v>
      </c>
      <c r="H23" s="3">
        <v>7125</v>
      </c>
    </row>
    <row r="24" spans="1:8" x14ac:dyDescent="0.3">
      <c r="A24" s="2" t="s">
        <v>96</v>
      </c>
      <c r="B24" s="2" t="s">
        <v>97</v>
      </c>
      <c r="C24" s="2"/>
      <c r="D24" s="2" t="s">
        <v>44</v>
      </c>
      <c r="E24" s="2" t="s">
        <v>11</v>
      </c>
      <c r="F24" s="2">
        <v>25</v>
      </c>
      <c r="G24" s="3">
        <v>285</v>
      </c>
      <c r="H24" s="3">
        <v>7125</v>
      </c>
    </row>
    <row r="25" spans="1:8" x14ac:dyDescent="0.3">
      <c r="A25" s="2" t="s">
        <v>98</v>
      </c>
      <c r="B25" s="2" t="s">
        <v>99</v>
      </c>
      <c r="C25" s="2" t="s">
        <v>13</v>
      </c>
      <c r="D25" s="2" t="s">
        <v>100</v>
      </c>
      <c r="E25" s="2" t="s">
        <v>14</v>
      </c>
      <c r="F25" s="2">
        <v>20</v>
      </c>
      <c r="G25" s="3">
        <v>3450</v>
      </c>
      <c r="H25" s="3">
        <v>69000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5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4" x14ac:dyDescent="0.3"/>
  <cols>
    <col min="1" max="1" width="12" customWidth="1"/>
    <col min="2" max="2" width="11" customWidth="1"/>
    <col min="3" max="3" width="24" customWidth="1"/>
    <col min="4" max="5" width="8" customWidth="1"/>
    <col min="6" max="7" width="12" customWidth="1"/>
    <col min="8" max="8" width="13" customWidth="1"/>
    <col min="9" max="9" width="16" customWidth="1"/>
    <col min="10" max="10" width="12" customWidth="1"/>
    <col min="11" max="13" width="10" customWidth="1"/>
    <col min="14" max="14" width="11" customWidth="1"/>
    <col min="15" max="15" width="10" customWidth="1"/>
    <col min="16" max="16" width="13" customWidth="1"/>
    <col min="17" max="17" width="34" customWidth="1"/>
    <col min="18" max="18" width="14" customWidth="1"/>
    <col min="19" max="19" width="28" customWidth="1"/>
  </cols>
  <sheetData>
    <row r="1" spans="1:19" ht="31.5" customHeight="1" x14ac:dyDescent="0.3">
      <c r="A1" s="1" t="s">
        <v>49</v>
      </c>
      <c r="B1" s="1" t="s">
        <v>3</v>
      </c>
      <c r="C1" s="1" t="s">
        <v>4</v>
      </c>
      <c r="D1" s="1" t="s">
        <v>51</v>
      </c>
      <c r="E1" s="1" t="s">
        <v>6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  <c r="R1" s="1" t="s">
        <v>113</v>
      </c>
      <c r="S1" s="1" t="s">
        <v>114</v>
      </c>
    </row>
    <row r="2" spans="1:19" x14ac:dyDescent="0.3">
      <c r="A2" s="5" t="str">
        <f>Invoice_Data!A2</f>
        <v>INV-1001</v>
      </c>
      <c r="B2" s="5" t="str">
        <f>IF(Invoice_Data!D2="","",Invoice_Data!D2)</f>
        <v>PO-5001</v>
      </c>
      <c r="C2" s="5" t="str">
        <f>IF(Invoice_Data!C2="","",Invoice_Data!C2)</f>
        <v>Sharma Office Supplies</v>
      </c>
      <c r="D2" s="5">
        <f>Invoice_Data!F2</f>
        <v>12</v>
      </c>
      <c r="E2" s="5">
        <f>IFERROR(INDEX(PO_Data!$D$2:$D$26,MATCH(B2,PO_Data!$A$2:$A$26,0)),"")</f>
        <v>12</v>
      </c>
      <c r="F2" s="4">
        <f>Invoice_Data!G2</f>
        <v>285</v>
      </c>
      <c r="G2" s="4">
        <f>IFERROR(INDEX(PO_Data!$E$2:$E$26,MATCH(B2,PO_Data!$A$2:$A$26,0)),"")</f>
        <v>285</v>
      </c>
      <c r="H2" s="4">
        <f>Invoice_Data!H2</f>
        <v>3420</v>
      </c>
      <c r="I2" s="4">
        <f t="shared" ref="I2:I25" si="0">IF(E2="","",E2*G2)</f>
        <v>3420</v>
      </c>
      <c r="J2" s="4">
        <f t="shared" ref="J2:J25" si="1">IF(I2="","",ROUND(H2-I2,2))</f>
        <v>0</v>
      </c>
      <c r="K2" s="5" t="str">
        <f>IF(COUNTBLANK(Invoice_Data!A2:H2)&gt;0,"Yes","No")</f>
        <v>No</v>
      </c>
      <c r="L2" s="5" t="str">
        <f>IF(COUNTIFS(Invoice_Data!$A$2:$A$25,Invoice_Data!A2,Invoice_Data!$D$2:$D$25,Invoice_Data!D2,Invoice_Data!$H$2:$H$25,Invoice_Data!H2)&gt;1,"Yes","No")</f>
        <v>No</v>
      </c>
      <c r="M2" s="5" t="str">
        <f t="shared" ref="M2:M25" si="2">IF(E2="","N/A",IF(D2&lt;&gt;E2,"Yes","No"))</f>
        <v>No</v>
      </c>
      <c r="N2" s="5" t="str">
        <f t="shared" ref="N2:N25" si="3">IF(G2="","N/A",IF(ROUND(F2-G2,2)&lt;&gt;0,"Yes","No"))</f>
        <v>No</v>
      </c>
      <c r="O2" s="5" t="str">
        <f t="shared" ref="O2:O25" si="4">IF(ROUND(H2-D2*F2,2)&lt;&gt;0,"Yes","No")</f>
        <v>No</v>
      </c>
      <c r="P2" s="5" t="str">
        <f t="shared" ref="P2:P25" si="5">IF(B2="","Missing PO",IF(E2="","PO Not Found",IF(OR(K2="Yes",L2="Yes",M2="Yes",N2="Yes",O2="Yes"),"Exception","Clean")))</f>
        <v>Clean</v>
      </c>
      <c r="Q2" s="5" t="str">
        <f t="shared" ref="Q2:Q25" si="6">IF(P2="Clean","",IF(K2="Yes","Missing field; ","")&amp;IF(L2="Yes","Duplicate; ","")&amp;IF(M2="Yes","Qty mismatch; ","")&amp;IF(N2="Yes","Price mismatch; ","")&amp;IF(O2="Yes","Total error; ","")&amp;IF(P2="PO Not Found","PO not in PO_Data; ",""))</f>
        <v/>
      </c>
      <c r="R2" s="5" t="str">
        <f t="shared" ref="R2:R25" si="7">IF(P2="Clean","N/A","Open")</f>
        <v>N/A</v>
      </c>
      <c r="S2" s="6"/>
    </row>
    <row r="3" spans="1:19" x14ac:dyDescent="0.3">
      <c r="A3" s="5" t="str">
        <f>Invoice_Data!A3</f>
        <v>INV-1002</v>
      </c>
      <c r="B3" s="5" t="str">
        <f>IF(Invoice_Data!D3="","",Invoice_Data!D3)</f>
        <v>PO-5002</v>
      </c>
      <c r="C3" s="5" t="str">
        <f>IF(Invoice_Data!C3="","",Invoice_Data!C3)</f>
        <v>TechNova Traders</v>
      </c>
      <c r="D3" s="5">
        <f>Invoice_Data!F3</f>
        <v>10</v>
      </c>
      <c r="E3" s="5">
        <f>IFERROR(INDEX(PO_Data!$D$2:$D$26,MATCH(B3,PO_Data!$A$2:$A$26,0)),"")</f>
        <v>10</v>
      </c>
      <c r="F3" s="4">
        <f>Invoice_Data!G3</f>
        <v>3450</v>
      </c>
      <c r="G3" s="4">
        <f>IFERROR(INDEX(PO_Data!$E$2:$E$26,MATCH(B3,PO_Data!$A$2:$A$26,0)),"")</f>
        <v>3450</v>
      </c>
      <c r="H3" s="4">
        <f>Invoice_Data!H3</f>
        <v>34500</v>
      </c>
      <c r="I3" s="4">
        <f t="shared" si="0"/>
        <v>34500</v>
      </c>
      <c r="J3" s="4">
        <f t="shared" si="1"/>
        <v>0</v>
      </c>
      <c r="K3" s="5" t="str">
        <f>IF(COUNTBLANK(Invoice_Data!A3:H3)&gt;0,"Yes","No")</f>
        <v>No</v>
      </c>
      <c r="L3" s="5" t="str">
        <f>IF(COUNTIFS(Invoice_Data!$A$2:$A$25,Invoice_Data!A3,Invoice_Data!$D$2:$D$25,Invoice_Data!D3,Invoice_Data!$H$2:$H$25,Invoice_Data!H3)&gt;1,"Yes","No")</f>
        <v>No</v>
      </c>
      <c r="M3" s="5" t="str">
        <f t="shared" si="2"/>
        <v>No</v>
      </c>
      <c r="N3" s="5" t="str">
        <f t="shared" si="3"/>
        <v>No</v>
      </c>
      <c r="O3" s="5" t="str">
        <f t="shared" si="4"/>
        <v>No</v>
      </c>
      <c r="P3" s="5" t="str">
        <f t="shared" si="5"/>
        <v>Clean</v>
      </c>
      <c r="Q3" s="5" t="str">
        <f t="shared" si="6"/>
        <v/>
      </c>
      <c r="R3" s="5" t="str">
        <f t="shared" si="7"/>
        <v>N/A</v>
      </c>
      <c r="S3" s="6"/>
    </row>
    <row r="4" spans="1:19" x14ac:dyDescent="0.3">
      <c r="A4" s="5" t="str">
        <f>Invoice_Data!A4</f>
        <v>INV-1003</v>
      </c>
      <c r="B4" s="5" t="str">
        <f>IF(Invoice_Data!D4="","",Invoice_Data!D4)</f>
        <v>PO-5003</v>
      </c>
      <c r="C4" s="5" t="str">
        <f>IF(Invoice_Data!C4="","",Invoice_Data!C4)</f>
        <v>Delhi Stationers</v>
      </c>
      <c r="D4" s="5">
        <f>Invoice_Data!F4</f>
        <v>20</v>
      </c>
      <c r="E4" s="5">
        <f>IFERROR(INDEX(PO_Data!$D$2:$D$26,MATCH(B4,PO_Data!$A$2:$A$26,0)),"")</f>
        <v>20</v>
      </c>
      <c r="F4" s="4">
        <f>Invoice_Data!G4</f>
        <v>420</v>
      </c>
      <c r="G4" s="4">
        <f>IFERROR(INDEX(PO_Data!$E$2:$E$26,MATCH(B4,PO_Data!$A$2:$A$26,0)),"")</f>
        <v>420</v>
      </c>
      <c r="H4" s="4">
        <f>Invoice_Data!H4</f>
        <v>8400</v>
      </c>
      <c r="I4" s="4">
        <f t="shared" si="0"/>
        <v>8400</v>
      </c>
      <c r="J4" s="4">
        <f t="shared" si="1"/>
        <v>0</v>
      </c>
      <c r="K4" s="5" t="str">
        <f>IF(COUNTBLANK(Invoice_Data!A4:H4)&gt;0,"Yes","No")</f>
        <v>No</v>
      </c>
      <c r="L4" s="5" t="str">
        <f>IF(COUNTIFS(Invoice_Data!$A$2:$A$25,Invoice_Data!A4,Invoice_Data!$D$2:$D$25,Invoice_Data!D4,Invoice_Data!$H$2:$H$25,Invoice_Data!H4)&gt;1,"Yes","No")</f>
        <v>No</v>
      </c>
      <c r="M4" s="5" t="str">
        <f t="shared" si="2"/>
        <v>No</v>
      </c>
      <c r="N4" s="5" t="str">
        <f t="shared" si="3"/>
        <v>No</v>
      </c>
      <c r="O4" s="5" t="str">
        <f t="shared" si="4"/>
        <v>No</v>
      </c>
      <c r="P4" s="5" t="str">
        <f t="shared" si="5"/>
        <v>Clean</v>
      </c>
      <c r="Q4" s="5" t="str">
        <f t="shared" si="6"/>
        <v/>
      </c>
      <c r="R4" s="5" t="str">
        <f t="shared" si="7"/>
        <v>N/A</v>
      </c>
      <c r="S4" s="6"/>
    </row>
    <row r="5" spans="1:19" x14ac:dyDescent="0.3">
      <c r="A5" s="5" t="str">
        <f>Invoice_Data!A5</f>
        <v>INV-1004</v>
      </c>
      <c r="B5" s="5" t="str">
        <f>IF(Invoice_Data!D5="","",Invoice_Data!D5)</f>
        <v>PO-5004</v>
      </c>
      <c r="C5" s="5" t="str">
        <f>IF(Invoice_Data!C5="","",Invoice_Data!C5)</f>
        <v>Metro IT Solutions</v>
      </c>
      <c r="D5" s="5">
        <f>Invoice_Data!F5</f>
        <v>40</v>
      </c>
      <c r="E5" s="5">
        <f>IFERROR(INDEX(PO_Data!$D$2:$D$26,MATCH(B5,PO_Data!$A$2:$A$26,0)),"")</f>
        <v>40</v>
      </c>
      <c r="F5" s="4">
        <f>Invoice_Data!G5</f>
        <v>6800</v>
      </c>
      <c r="G5" s="4">
        <f>IFERROR(INDEX(PO_Data!$E$2:$E$26,MATCH(B5,PO_Data!$A$2:$A$26,0)),"")</f>
        <v>6800</v>
      </c>
      <c r="H5" s="4">
        <f>Invoice_Data!H5</f>
        <v>272000</v>
      </c>
      <c r="I5" s="4">
        <f t="shared" si="0"/>
        <v>272000</v>
      </c>
      <c r="J5" s="4">
        <f t="shared" si="1"/>
        <v>0</v>
      </c>
      <c r="K5" s="5" t="str">
        <f>IF(COUNTBLANK(Invoice_Data!A5:H5)&gt;0,"Yes","No")</f>
        <v>No</v>
      </c>
      <c r="L5" s="5" t="str">
        <f>IF(COUNTIFS(Invoice_Data!$A$2:$A$25,Invoice_Data!A5,Invoice_Data!$D$2:$D$25,Invoice_Data!D5,Invoice_Data!$H$2:$H$25,Invoice_Data!H5)&gt;1,"Yes","No")</f>
        <v>No</v>
      </c>
      <c r="M5" s="5" t="str">
        <f t="shared" si="2"/>
        <v>No</v>
      </c>
      <c r="N5" s="5" t="str">
        <f t="shared" si="3"/>
        <v>No</v>
      </c>
      <c r="O5" s="5" t="str">
        <f t="shared" si="4"/>
        <v>No</v>
      </c>
      <c r="P5" s="5" t="str">
        <f t="shared" si="5"/>
        <v>Clean</v>
      </c>
      <c r="Q5" s="5" t="str">
        <f t="shared" si="6"/>
        <v/>
      </c>
      <c r="R5" s="5" t="str">
        <f t="shared" si="7"/>
        <v>N/A</v>
      </c>
      <c r="S5" s="6"/>
    </row>
    <row r="6" spans="1:19" x14ac:dyDescent="0.3">
      <c r="A6" s="5" t="str">
        <f>Invoice_Data!A6</f>
        <v>INV-1005</v>
      </c>
      <c r="B6" s="5" t="str">
        <f>IF(Invoice_Data!D6="","",Invoice_Data!D6)</f>
        <v>PO-5005</v>
      </c>
      <c r="C6" s="5" t="str">
        <f>IF(Invoice_Data!C6="","",Invoice_Data!C6)</f>
        <v>Apex Furnishings</v>
      </c>
      <c r="D6" s="5">
        <f>Invoice_Data!F6</f>
        <v>5</v>
      </c>
      <c r="E6" s="5">
        <f>IFERROR(INDEX(PO_Data!$D$2:$D$26,MATCH(B6,PO_Data!$A$2:$A$26,0)),"")</f>
        <v>5</v>
      </c>
      <c r="F6" s="4">
        <f>Invoice_Data!G6</f>
        <v>2950</v>
      </c>
      <c r="G6" s="4">
        <f>IFERROR(INDEX(PO_Data!$E$2:$E$26,MATCH(B6,PO_Data!$A$2:$A$26,0)),"")</f>
        <v>2950</v>
      </c>
      <c r="H6" s="4">
        <f>Invoice_Data!H6</f>
        <v>14750</v>
      </c>
      <c r="I6" s="4">
        <f t="shared" si="0"/>
        <v>14750</v>
      </c>
      <c r="J6" s="4">
        <f t="shared" si="1"/>
        <v>0</v>
      </c>
      <c r="K6" s="5" t="str">
        <f>IF(COUNTBLANK(Invoice_Data!A6:H6)&gt;0,"Yes","No")</f>
        <v>No</v>
      </c>
      <c r="L6" s="5" t="str">
        <f>IF(COUNTIFS(Invoice_Data!$A$2:$A$25,Invoice_Data!A6,Invoice_Data!$D$2:$D$25,Invoice_Data!D6,Invoice_Data!$H$2:$H$25,Invoice_Data!H6)&gt;1,"Yes","No")</f>
        <v>Yes</v>
      </c>
      <c r="M6" s="5" t="str">
        <f t="shared" si="2"/>
        <v>No</v>
      </c>
      <c r="N6" s="5" t="str">
        <f t="shared" si="3"/>
        <v>No</v>
      </c>
      <c r="O6" s="5" t="str">
        <f t="shared" si="4"/>
        <v>No</v>
      </c>
      <c r="P6" s="5" t="str">
        <f t="shared" si="5"/>
        <v>Exception</v>
      </c>
      <c r="Q6" s="5" t="str">
        <f t="shared" si="6"/>
        <v xml:space="preserve">Duplicate; </v>
      </c>
      <c r="R6" s="5" t="str">
        <f t="shared" si="7"/>
        <v>Open</v>
      </c>
      <c r="S6" s="6"/>
    </row>
    <row r="7" spans="1:19" x14ac:dyDescent="0.3">
      <c r="A7" s="5" t="str">
        <f>Invoice_Data!A7</f>
        <v>INV-1006</v>
      </c>
      <c r="B7" s="5" t="str">
        <f>IF(Invoice_Data!D7="","",Invoice_Data!D7)</f>
        <v>PO-5006</v>
      </c>
      <c r="C7" s="5" t="str">
        <f>IF(Invoice_Data!C7="","",Invoice_Data!C7)</f>
        <v>Sharma Office Supplies</v>
      </c>
      <c r="D7" s="5">
        <f>Invoice_Data!F7</f>
        <v>5</v>
      </c>
      <c r="E7" s="5">
        <f>IFERROR(INDEX(PO_Data!$D$2:$D$26,MATCH(B7,PO_Data!$A$2:$A$26,0)),"")</f>
        <v>5</v>
      </c>
      <c r="F7" s="4">
        <f>Invoice_Data!G7</f>
        <v>9800</v>
      </c>
      <c r="G7" s="4">
        <f>IFERROR(INDEX(PO_Data!$E$2:$E$26,MATCH(B7,PO_Data!$A$2:$A$26,0)),"")</f>
        <v>9800</v>
      </c>
      <c r="H7" s="4">
        <f>Invoice_Data!H7</f>
        <v>49000</v>
      </c>
      <c r="I7" s="4">
        <f t="shared" si="0"/>
        <v>49000</v>
      </c>
      <c r="J7" s="4">
        <f t="shared" si="1"/>
        <v>0</v>
      </c>
      <c r="K7" s="5" t="str">
        <f>IF(COUNTBLANK(Invoice_Data!A7:H7)&gt;0,"Yes","No")</f>
        <v>No</v>
      </c>
      <c r="L7" s="5" t="str">
        <f>IF(COUNTIFS(Invoice_Data!$A$2:$A$25,Invoice_Data!A7,Invoice_Data!$D$2:$D$25,Invoice_Data!D7,Invoice_Data!$H$2:$H$25,Invoice_Data!H7)&gt;1,"Yes","No")</f>
        <v>No</v>
      </c>
      <c r="M7" s="5" t="str">
        <f t="shared" si="2"/>
        <v>No</v>
      </c>
      <c r="N7" s="5" t="str">
        <f t="shared" si="3"/>
        <v>No</v>
      </c>
      <c r="O7" s="5" t="str">
        <f t="shared" si="4"/>
        <v>No</v>
      </c>
      <c r="P7" s="5" t="str">
        <f t="shared" si="5"/>
        <v>Clean</v>
      </c>
      <c r="Q7" s="5" t="str">
        <f t="shared" si="6"/>
        <v/>
      </c>
      <c r="R7" s="5" t="str">
        <f t="shared" si="7"/>
        <v>N/A</v>
      </c>
      <c r="S7" s="6"/>
    </row>
    <row r="8" spans="1:19" x14ac:dyDescent="0.3">
      <c r="A8" s="5" t="str">
        <f>Invoice_Data!A8</f>
        <v>INV-1007</v>
      </c>
      <c r="B8" s="5" t="str">
        <f>IF(Invoice_Data!D8="","",Invoice_Data!D8)</f>
        <v>PO-5007</v>
      </c>
      <c r="C8" s="5" t="str">
        <f>IF(Invoice_Data!C8="","",Invoice_Data!C8)</f>
        <v>TechNova Traders</v>
      </c>
      <c r="D8" s="5">
        <f>Invoice_Data!F8</f>
        <v>25</v>
      </c>
      <c r="E8" s="5">
        <f>IFERROR(INDEX(PO_Data!$D$2:$D$26,MATCH(B8,PO_Data!$A$2:$A$26,0)),"")</f>
        <v>25</v>
      </c>
      <c r="F8" s="4">
        <f>Invoice_Data!G8</f>
        <v>360</v>
      </c>
      <c r="G8" s="4">
        <f>IFERROR(INDEX(PO_Data!$E$2:$E$26,MATCH(B8,PO_Data!$A$2:$A$26,0)),"")</f>
        <v>360</v>
      </c>
      <c r="H8" s="4">
        <f>Invoice_Data!H8</f>
        <v>9000</v>
      </c>
      <c r="I8" s="4">
        <f t="shared" si="0"/>
        <v>9000</v>
      </c>
      <c r="J8" s="4">
        <f t="shared" si="1"/>
        <v>0</v>
      </c>
      <c r="K8" s="5" t="str">
        <f>IF(COUNTBLANK(Invoice_Data!A8:H8)&gt;0,"Yes","No")</f>
        <v>No</v>
      </c>
      <c r="L8" s="5" t="str">
        <f>IF(COUNTIFS(Invoice_Data!$A$2:$A$25,Invoice_Data!A8,Invoice_Data!$D$2:$D$25,Invoice_Data!D8,Invoice_Data!$H$2:$H$25,Invoice_Data!H8)&gt;1,"Yes","No")</f>
        <v>No</v>
      </c>
      <c r="M8" s="5" t="str">
        <f t="shared" si="2"/>
        <v>No</v>
      </c>
      <c r="N8" s="5" t="str">
        <f t="shared" si="3"/>
        <v>No</v>
      </c>
      <c r="O8" s="5" t="str">
        <f t="shared" si="4"/>
        <v>No</v>
      </c>
      <c r="P8" s="5" t="str">
        <f t="shared" si="5"/>
        <v>Clean</v>
      </c>
      <c r="Q8" s="5" t="str">
        <f t="shared" si="6"/>
        <v/>
      </c>
      <c r="R8" s="5" t="str">
        <f t="shared" si="7"/>
        <v>N/A</v>
      </c>
      <c r="S8" s="6"/>
    </row>
    <row r="9" spans="1:19" x14ac:dyDescent="0.3">
      <c r="A9" s="5" t="str">
        <f>Invoice_Data!A9</f>
        <v>INV-1008</v>
      </c>
      <c r="B9" s="5" t="str">
        <f>IF(Invoice_Data!D9="","",Invoice_Data!D9)</f>
        <v>PO-5008</v>
      </c>
      <c r="C9" s="5" t="str">
        <f>IF(Invoice_Data!C9="","",Invoice_Data!C9)</f>
        <v>Delhi Stationers</v>
      </c>
      <c r="D9" s="5">
        <f>Invoice_Data!F9</f>
        <v>5</v>
      </c>
      <c r="E9" s="5">
        <f>IFERROR(INDEX(PO_Data!$D$2:$D$26,MATCH(B9,PO_Data!$A$2:$A$26,0)),"")</f>
        <v>5</v>
      </c>
      <c r="F9" s="4">
        <f>Invoice_Data!G9</f>
        <v>1250</v>
      </c>
      <c r="G9" s="4">
        <f>IFERROR(INDEX(PO_Data!$E$2:$E$26,MATCH(B9,PO_Data!$A$2:$A$26,0)),"")</f>
        <v>1250</v>
      </c>
      <c r="H9" s="4">
        <f>Invoice_Data!H9</f>
        <v>6250</v>
      </c>
      <c r="I9" s="4">
        <f t="shared" si="0"/>
        <v>6250</v>
      </c>
      <c r="J9" s="4">
        <f t="shared" si="1"/>
        <v>0</v>
      </c>
      <c r="K9" s="5" t="str">
        <f>IF(COUNTBLANK(Invoice_Data!A9:H9)&gt;0,"Yes","No")</f>
        <v>No</v>
      </c>
      <c r="L9" s="5" t="str">
        <f>IF(COUNTIFS(Invoice_Data!$A$2:$A$25,Invoice_Data!A9,Invoice_Data!$D$2:$D$25,Invoice_Data!D9,Invoice_Data!$H$2:$H$25,Invoice_Data!H9)&gt;1,"Yes","No")</f>
        <v>No</v>
      </c>
      <c r="M9" s="5" t="str">
        <f t="shared" si="2"/>
        <v>No</v>
      </c>
      <c r="N9" s="5" t="str">
        <f t="shared" si="3"/>
        <v>No</v>
      </c>
      <c r="O9" s="5" t="str">
        <f t="shared" si="4"/>
        <v>No</v>
      </c>
      <c r="P9" s="5" t="str">
        <f t="shared" si="5"/>
        <v>Clean</v>
      </c>
      <c r="Q9" s="5" t="str">
        <f t="shared" si="6"/>
        <v/>
      </c>
      <c r="R9" s="5" t="str">
        <f t="shared" si="7"/>
        <v>N/A</v>
      </c>
      <c r="S9" s="6"/>
    </row>
    <row r="10" spans="1:19" x14ac:dyDescent="0.3">
      <c r="A10" s="5" t="str">
        <f>Invoice_Data!A10</f>
        <v>INV-1009</v>
      </c>
      <c r="B10" s="5" t="str">
        <f>IF(Invoice_Data!D10="","",Invoice_Data!D10)</f>
        <v>PO-5009</v>
      </c>
      <c r="C10" s="5" t="str">
        <f>IF(Invoice_Data!C10="","",Invoice_Data!C10)</f>
        <v>Metro IT Solutions</v>
      </c>
      <c r="D10" s="5">
        <f>Invoice_Data!F10</f>
        <v>12</v>
      </c>
      <c r="E10" s="5">
        <f>IFERROR(INDEX(PO_Data!$D$2:$D$26,MATCH(B10,PO_Data!$A$2:$A$26,0)),"")</f>
        <v>12</v>
      </c>
      <c r="F10" s="4">
        <f>Invoice_Data!G10</f>
        <v>780</v>
      </c>
      <c r="G10" s="4">
        <f>IFERROR(INDEX(PO_Data!$E$2:$E$26,MATCH(B10,PO_Data!$A$2:$A$26,0)),"")</f>
        <v>780</v>
      </c>
      <c r="H10" s="4">
        <f>Invoice_Data!H10</f>
        <v>9360</v>
      </c>
      <c r="I10" s="4">
        <f t="shared" si="0"/>
        <v>9360</v>
      </c>
      <c r="J10" s="4">
        <f t="shared" si="1"/>
        <v>0</v>
      </c>
      <c r="K10" s="5" t="str">
        <f>IF(COUNTBLANK(Invoice_Data!A10:H10)&gt;0,"Yes","No")</f>
        <v>No</v>
      </c>
      <c r="L10" s="5" t="str">
        <f>IF(COUNTIFS(Invoice_Data!$A$2:$A$25,Invoice_Data!A10,Invoice_Data!$D$2:$D$25,Invoice_Data!D10,Invoice_Data!$H$2:$H$25,Invoice_Data!H10)&gt;1,"Yes","No")</f>
        <v>No</v>
      </c>
      <c r="M10" s="5" t="str">
        <f t="shared" si="2"/>
        <v>No</v>
      </c>
      <c r="N10" s="5" t="str">
        <f t="shared" si="3"/>
        <v>No</v>
      </c>
      <c r="O10" s="5" t="str">
        <f t="shared" si="4"/>
        <v>No</v>
      </c>
      <c r="P10" s="5" t="str">
        <f t="shared" si="5"/>
        <v>Clean</v>
      </c>
      <c r="Q10" s="5" t="str">
        <f t="shared" si="6"/>
        <v/>
      </c>
      <c r="R10" s="5" t="str">
        <f t="shared" si="7"/>
        <v>N/A</v>
      </c>
      <c r="S10" s="6"/>
    </row>
    <row r="11" spans="1:19" x14ac:dyDescent="0.3">
      <c r="A11" s="5" t="str">
        <f>Invoice_Data!A11</f>
        <v>INV-1010</v>
      </c>
      <c r="B11" s="5" t="str">
        <f>IF(Invoice_Data!D11="","",Invoice_Data!D11)</f>
        <v>PO-5010</v>
      </c>
      <c r="C11" s="5" t="str">
        <f>IF(Invoice_Data!C11="","",Invoice_Data!C11)</f>
        <v>Apex Furnishings</v>
      </c>
      <c r="D11" s="5">
        <f>Invoice_Data!F11</f>
        <v>25</v>
      </c>
      <c r="E11" s="5">
        <f>IFERROR(INDEX(PO_Data!$D$2:$D$26,MATCH(B11,PO_Data!$A$2:$A$26,0)),"")</f>
        <v>25</v>
      </c>
      <c r="F11" s="4">
        <f>Invoice_Data!G11</f>
        <v>1150</v>
      </c>
      <c r="G11" s="4">
        <f>IFERROR(INDEX(PO_Data!$E$2:$E$26,MATCH(B11,PO_Data!$A$2:$A$26,0)),"")</f>
        <v>1150</v>
      </c>
      <c r="H11" s="4">
        <f>Invoice_Data!H11</f>
        <v>28750</v>
      </c>
      <c r="I11" s="4">
        <f t="shared" si="0"/>
        <v>28750</v>
      </c>
      <c r="J11" s="4">
        <f t="shared" si="1"/>
        <v>0</v>
      </c>
      <c r="K11" s="5" t="str">
        <f>IF(COUNTBLANK(Invoice_Data!A11:H11)&gt;0,"Yes","No")</f>
        <v>No</v>
      </c>
      <c r="L11" s="5" t="str">
        <f>IF(COUNTIFS(Invoice_Data!$A$2:$A$25,Invoice_Data!A11,Invoice_Data!$D$2:$D$25,Invoice_Data!D11,Invoice_Data!$H$2:$H$25,Invoice_Data!H11)&gt;1,"Yes","No")</f>
        <v>No</v>
      </c>
      <c r="M11" s="5" t="str">
        <f t="shared" si="2"/>
        <v>No</v>
      </c>
      <c r="N11" s="5" t="str">
        <f t="shared" si="3"/>
        <v>No</v>
      </c>
      <c r="O11" s="5" t="str">
        <f t="shared" si="4"/>
        <v>No</v>
      </c>
      <c r="P11" s="5" t="str">
        <f t="shared" si="5"/>
        <v>Clean</v>
      </c>
      <c r="Q11" s="5" t="str">
        <f t="shared" si="6"/>
        <v/>
      </c>
      <c r="R11" s="5" t="str">
        <f t="shared" si="7"/>
        <v>N/A</v>
      </c>
      <c r="S11" s="6"/>
    </row>
    <row r="12" spans="1:19" x14ac:dyDescent="0.3">
      <c r="A12" s="5" t="str">
        <f>Invoice_Data!A12</f>
        <v>INV-1011</v>
      </c>
      <c r="B12" s="5" t="str">
        <f>IF(Invoice_Data!D12="","",Invoice_Data!D12)</f>
        <v>PO-5011</v>
      </c>
      <c r="C12" s="5" t="str">
        <f>IF(Invoice_Data!C12="","",Invoice_Data!C12)</f>
        <v>Sharma Office Supplies</v>
      </c>
      <c r="D12" s="5">
        <f>Invoice_Data!F12</f>
        <v>5</v>
      </c>
      <c r="E12" s="5">
        <f>IFERROR(INDEX(PO_Data!$D$2:$D$26,MATCH(B12,PO_Data!$A$2:$A$26,0)),"")</f>
        <v>5</v>
      </c>
      <c r="F12" s="4">
        <f>Invoice_Data!G12</f>
        <v>285</v>
      </c>
      <c r="G12" s="4">
        <f>IFERROR(INDEX(PO_Data!$E$2:$E$26,MATCH(B12,PO_Data!$A$2:$A$26,0)),"")</f>
        <v>285</v>
      </c>
      <c r="H12" s="4">
        <f>Invoice_Data!H12</f>
        <v>1425</v>
      </c>
      <c r="I12" s="4">
        <f t="shared" si="0"/>
        <v>1425</v>
      </c>
      <c r="J12" s="4">
        <f t="shared" si="1"/>
        <v>0</v>
      </c>
      <c r="K12" s="5" t="str">
        <f>IF(COUNTBLANK(Invoice_Data!A12:H12)&gt;0,"Yes","No")</f>
        <v>No</v>
      </c>
      <c r="L12" s="5" t="str">
        <f>IF(COUNTIFS(Invoice_Data!$A$2:$A$25,Invoice_Data!A12,Invoice_Data!$D$2:$D$25,Invoice_Data!D12,Invoice_Data!$H$2:$H$25,Invoice_Data!H12)&gt;1,"Yes","No")</f>
        <v>No</v>
      </c>
      <c r="M12" s="5" t="str">
        <f t="shared" si="2"/>
        <v>No</v>
      </c>
      <c r="N12" s="5" t="str">
        <f t="shared" si="3"/>
        <v>No</v>
      </c>
      <c r="O12" s="5" t="str">
        <f t="shared" si="4"/>
        <v>No</v>
      </c>
      <c r="P12" s="5" t="str">
        <f t="shared" si="5"/>
        <v>Clean</v>
      </c>
      <c r="Q12" s="5" t="str">
        <f t="shared" si="6"/>
        <v/>
      </c>
      <c r="R12" s="5" t="str">
        <f t="shared" si="7"/>
        <v>N/A</v>
      </c>
      <c r="S12" s="6"/>
    </row>
    <row r="13" spans="1:19" x14ac:dyDescent="0.3">
      <c r="A13" s="5" t="str">
        <f>Invoice_Data!A13</f>
        <v>INV-1012</v>
      </c>
      <c r="B13" s="5" t="str">
        <f>IF(Invoice_Data!D13="","",Invoice_Data!D13)</f>
        <v>PO-5012</v>
      </c>
      <c r="C13" s="5" t="str">
        <f>IF(Invoice_Data!C13="","",Invoice_Data!C13)</f>
        <v>TechNova Traders</v>
      </c>
      <c r="D13" s="5">
        <f>Invoice_Data!F13</f>
        <v>25</v>
      </c>
      <c r="E13" s="5">
        <f>IFERROR(INDEX(PO_Data!$D$2:$D$26,MATCH(B13,PO_Data!$A$2:$A$26,0)),"")</f>
        <v>25</v>
      </c>
      <c r="F13" s="4">
        <f>Invoice_Data!G13</f>
        <v>3450</v>
      </c>
      <c r="G13" s="4">
        <f>IFERROR(INDEX(PO_Data!$E$2:$E$26,MATCH(B13,PO_Data!$A$2:$A$26,0)),"")</f>
        <v>3450</v>
      </c>
      <c r="H13" s="4">
        <f>Invoice_Data!H13</f>
        <v>86250</v>
      </c>
      <c r="I13" s="4">
        <f t="shared" si="0"/>
        <v>86250</v>
      </c>
      <c r="J13" s="4">
        <f t="shared" si="1"/>
        <v>0</v>
      </c>
      <c r="K13" s="5" t="str">
        <f>IF(COUNTBLANK(Invoice_Data!A13:H13)&gt;0,"Yes","No")</f>
        <v>No</v>
      </c>
      <c r="L13" s="5" t="str">
        <f>IF(COUNTIFS(Invoice_Data!$A$2:$A$25,Invoice_Data!A13,Invoice_Data!$D$2:$D$25,Invoice_Data!D13,Invoice_Data!$H$2:$H$25,Invoice_Data!H13)&gt;1,"Yes","No")</f>
        <v>No</v>
      </c>
      <c r="M13" s="5" t="str">
        <f t="shared" si="2"/>
        <v>No</v>
      </c>
      <c r="N13" s="5" t="str">
        <f t="shared" si="3"/>
        <v>No</v>
      </c>
      <c r="O13" s="5" t="str">
        <f t="shared" si="4"/>
        <v>No</v>
      </c>
      <c r="P13" s="5" t="str">
        <f t="shared" si="5"/>
        <v>Clean</v>
      </c>
      <c r="Q13" s="5" t="str">
        <f t="shared" si="6"/>
        <v/>
      </c>
      <c r="R13" s="5" t="str">
        <f t="shared" si="7"/>
        <v>N/A</v>
      </c>
      <c r="S13" s="6"/>
    </row>
    <row r="14" spans="1:19" x14ac:dyDescent="0.3">
      <c r="A14" s="5" t="str">
        <f>Invoice_Data!A14</f>
        <v>INV-1013</v>
      </c>
      <c r="B14" s="5" t="str">
        <f>IF(Invoice_Data!D14="","",Invoice_Data!D14)</f>
        <v>PO-5013</v>
      </c>
      <c r="C14" s="5" t="str">
        <f>IF(Invoice_Data!C14="","",Invoice_Data!C14)</f>
        <v>Delhi Stationers</v>
      </c>
      <c r="D14" s="5">
        <f>Invoice_Data!F14</f>
        <v>10</v>
      </c>
      <c r="E14" s="5">
        <f>IFERROR(INDEX(PO_Data!$D$2:$D$26,MATCH(B14,PO_Data!$A$2:$A$26,0)),"")</f>
        <v>10</v>
      </c>
      <c r="F14" s="4">
        <f>Invoice_Data!G14</f>
        <v>420</v>
      </c>
      <c r="G14" s="4">
        <f>IFERROR(INDEX(PO_Data!$E$2:$E$26,MATCH(B14,PO_Data!$A$2:$A$26,0)),"")</f>
        <v>420</v>
      </c>
      <c r="H14" s="4">
        <f>Invoice_Data!H14</f>
        <v>4200</v>
      </c>
      <c r="I14" s="4">
        <f t="shared" si="0"/>
        <v>4200</v>
      </c>
      <c r="J14" s="4">
        <f t="shared" si="1"/>
        <v>0</v>
      </c>
      <c r="K14" s="5" t="str">
        <f>IF(COUNTBLANK(Invoice_Data!A14:H14)&gt;0,"Yes","No")</f>
        <v>No</v>
      </c>
      <c r="L14" s="5" t="str">
        <f>IF(COUNTIFS(Invoice_Data!$A$2:$A$25,Invoice_Data!A14,Invoice_Data!$D$2:$D$25,Invoice_Data!D14,Invoice_Data!$H$2:$H$25,Invoice_Data!H14)&gt;1,"Yes","No")</f>
        <v>No</v>
      </c>
      <c r="M14" s="5" t="str">
        <f t="shared" si="2"/>
        <v>No</v>
      </c>
      <c r="N14" s="5" t="str">
        <f t="shared" si="3"/>
        <v>No</v>
      </c>
      <c r="O14" s="5" t="str">
        <f t="shared" si="4"/>
        <v>No</v>
      </c>
      <c r="P14" s="5" t="str">
        <f t="shared" si="5"/>
        <v>Clean</v>
      </c>
      <c r="Q14" s="5" t="str">
        <f t="shared" si="6"/>
        <v/>
      </c>
      <c r="R14" s="5" t="str">
        <f t="shared" si="7"/>
        <v>N/A</v>
      </c>
      <c r="S14" s="6"/>
    </row>
    <row r="15" spans="1:19" x14ac:dyDescent="0.3">
      <c r="A15" s="5" t="str">
        <f>Invoice_Data!A15</f>
        <v>INV-1014</v>
      </c>
      <c r="B15" s="5" t="str">
        <f>IF(Invoice_Data!D15="","",Invoice_Data!D15)</f>
        <v>PO-5014</v>
      </c>
      <c r="C15" s="5" t="str">
        <f>IF(Invoice_Data!C15="","",Invoice_Data!C15)</f>
        <v>Metro IT Solutions</v>
      </c>
      <c r="D15" s="5">
        <f>Invoice_Data!F15</f>
        <v>5</v>
      </c>
      <c r="E15" s="5">
        <f>IFERROR(INDEX(PO_Data!$D$2:$D$26,MATCH(B15,PO_Data!$A$2:$A$26,0)),"")</f>
        <v>5</v>
      </c>
      <c r="F15" s="4">
        <f>Invoice_Data!G15</f>
        <v>6800</v>
      </c>
      <c r="G15" s="4">
        <f>IFERROR(INDEX(PO_Data!$E$2:$E$26,MATCH(B15,PO_Data!$A$2:$A$26,0)),"")</f>
        <v>6800</v>
      </c>
      <c r="H15" s="4">
        <f>Invoice_Data!H15</f>
        <v>34000</v>
      </c>
      <c r="I15" s="4">
        <f t="shared" si="0"/>
        <v>34000</v>
      </c>
      <c r="J15" s="4">
        <f t="shared" si="1"/>
        <v>0</v>
      </c>
      <c r="K15" s="5" t="str">
        <f>IF(COUNTBLANK(Invoice_Data!A15:H15)&gt;0,"Yes","No")</f>
        <v>No</v>
      </c>
      <c r="L15" s="5" t="str">
        <f>IF(COUNTIFS(Invoice_Data!$A$2:$A$25,Invoice_Data!A15,Invoice_Data!$D$2:$D$25,Invoice_Data!D15,Invoice_Data!$H$2:$H$25,Invoice_Data!H15)&gt;1,"Yes","No")</f>
        <v>No</v>
      </c>
      <c r="M15" s="5" t="str">
        <f t="shared" si="2"/>
        <v>No</v>
      </c>
      <c r="N15" s="5" t="str">
        <f t="shared" si="3"/>
        <v>No</v>
      </c>
      <c r="O15" s="5" t="str">
        <f t="shared" si="4"/>
        <v>No</v>
      </c>
      <c r="P15" s="5" t="str">
        <f t="shared" si="5"/>
        <v>Clean</v>
      </c>
      <c r="Q15" s="5" t="str">
        <f t="shared" si="6"/>
        <v/>
      </c>
      <c r="R15" s="5" t="str">
        <f t="shared" si="7"/>
        <v>N/A</v>
      </c>
      <c r="S15" s="6"/>
    </row>
    <row r="16" spans="1:19" x14ac:dyDescent="0.3">
      <c r="A16" s="5" t="str">
        <f>Invoice_Data!A16</f>
        <v>INV-1015</v>
      </c>
      <c r="B16" s="5" t="str">
        <f>IF(Invoice_Data!D16="","",Invoice_Data!D16)</f>
        <v>PO-5015</v>
      </c>
      <c r="C16" s="5" t="str">
        <f>IF(Invoice_Data!C16="","",Invoice_Data!C16)</f>
        <v>Apex Furnishings</v>
      </c>
      <c r="D16" s="5">
        <f>Invoice_Data!F16</f>
        <v>5</v>
      </c>
      <c r="E16" s="5">
        <f>IFERROR(INDEX(PO_Data!$D$2:$D$26,MATCH(B16,PO_Data!$A$2:$A$26,0)),"")</f>
        <v>5</v>
      </c>
      <c r="F16" s="4">
        <f>Invoice_Data!G16</f>
        <v>2950</v>
      </c>
      <c r="G16" s="4">
        <f>IFERROR(INDEX(PO_Data!$E$2:$E$26,MATCH(B16,PO_Data!$A$2:$A$26,0)),"")</f>
        <v>2950</v>
      </c>
      <c r="H16" s="4">
        <f>Invoice_Data!H16</f>
        <v>14750</v>
      </c>
      <c r="I16" s="4">
        <f t="shared" si="0"/>
        <v>14750</v>
      </c>
      <c r="J16" s="4">
        <f t="shared" si="1"/>
        <v>0</v>
      </c>
      <c r="K16" s="5" t="str">
        <f>IF(COUNTBLANK(Invoice_Data!A16:H16)&gt;0,"Yes","No")</f>
        <v>No</v>
      </c>
      <c r="L16" s="5" t="str">
        <f>IF(COUNTIFS(Invoice_Data!$A$2:$A$25,Invoice_Data!A16,Invoice_Data!$D$2:$D$25,Invoice_Data!D16,Invoice_Data!$H$2:$H$25,Invoice_Data!H16)&gt;1,"Yes","No")</f>
        <v>No</v>
      </c>
      <c r="M16" s="5" t="str">
        <f t="shared" si="2"/>
        <v>No</v>
      </c>
      <c r="N16" s="5" t="str">
        <f t="shared" si="3"/>
        <v>No</v>
      </c>
      <c r="O16" s="5" t="str">
        <f t="shared" si="4"/>
        <v>No</v>
      </c>
      <c r="P16" s="5" t="str">
        <f t="shared" si="5"/>
        <v>Clean</v>
      </c>
      <c r="Q16" s="5" t="str">
        <f t="shared" si="6"/>
        <v/>
      </c>
      <c r="R16" s="5" t="str">
        <f t="shared" si="7"/>
        <v>N/A</v>
      </c>
      <c r="S16" s="6"/>
    </row>
    <row r="17" spans="1:19" x14ac:dyDescent="0.3">
      <c r="A17" s="5" t="str">
        <f>Invoice_Data!A17</f>
        <v>INV-1016</v>
      </c>
      <c r="B17" s="5" t="str">
        <f>IF(Invoice_Data!D17="","",Invoice_Data!D17)</f>
        <v>PO-5016</v>
      </c>
      <c r="C17" s="5" t="str">
        <f>IF(Invoice_Data!C17="","",Invoice_Data!C17)</f>
        <v>Sharma Office Supplies</v>
      </c>
      <c r="D17" s="5">
        <f>Invoice_Data!F17</f>
        <v>20</v>
      </c>
      <c r="E17" s="5">
        <f>IFERROR(INDEX(PO_Data!$D$2:$D$26,MATCH(B17,PO_Data!$A$2:$A$26,0)),"")</f>
        <v>20</v>
      </c>
      <c r="F17" s="4">
        <f>Invoice_Data!G17</f>
        <v>9800</v>
      </c>
      <c r="G17" s="4">
        <f>IFERROR(INDEX(PO_Data!$E$2:$E$26,MATCH(B17,PO_Data!$A$2:$A$26,0)),"")</f>
        <v>9800</v>
      </c>
      <c r="H17" s="4">
        <f>Invoice_Data!H17</f>
        <v>196000</v>
      </c>
      <c r="I17" s="4">
        <f t="shared" si="0"/>
        <v>196000</v>
      </c>
      <c r="J17" s="4">
        <f t="shared" si="1"/>
        <v>0</v>
      </c>
      <c r="K17" s="5" t="str">
        <f>IF(COUNTBLANK(Invoice_Data!A17:H17)&gt;0,"Yes","No")</f>
        <v>No</v>
      </c>
      <c r="L17" s="5" t="str">
        <f>IF(COUNTIFS(Invoice_Data!$A$2:$A$25,Invoice_Data!A17,Invoice_Data!$D$2:$D$25,Invoice_Data!D17,Invoice_Data!$H$2:$H$25,Invoice_Data!H17)&gt;1,"Yes","No")</f>
        <v>No</v>
      </c>
      <c r="M17" s="5" t="str">
        <f t="shared" si="2"/>
        <v>No</v>
      </c>
      <c r="N17" s="5" t="str">
        <f t="shared" si="3"/>
        <v>No</v>
      </c>
      <c r="O17" s="5" t="str">
        <f t="shared" si="4"/>
        <v>No</v>
      </c>
      <c r="P17" s="5" t="str">
        <f t="shared" si="5"/>
        <v>Clean</v>
      </c>
      <c r="Q17" s="5" t="str">
        <f t="shared" si="6"/>
        <v/>
      </c>
      <c r="R17" s="5" t="str">
        <f t="shared" si="7"/>
        <v>N/A</v>
      </c>
      <c r="S17" s="6"/>
    </row>
    <row r="18" spans="1:19" x14ac:dyDescent="0.3">
      <c r="A18" s="5" t="str">
        <f>Invoice_Data!A18</f>
        <v>INV-1017</v>
      </c>
      <c r="B18" s="5" t="str">
        <f>IF(Invoice_Data!D18="","",Invoice_Data!D18)</f>
        <v>PO-5017</v>
      </c>
      <c r="C18" s="5" t="str">
        <f>IF(Invoice_Data!C18="","",Invoice_Data!C18)</f>
        <v>TechNova Traders</v>
      </c>
      <c r="D18" s="5">
        <f>Invoice_Data!F18</f>
        <v>20</v>
      </c>
      <c r="E18" s="5">
        <f>IFERROR(INDEX(PO_Data!$D$2:$D$26,MATCH(B18,PO_Data!$A$2:$A$26,0)),"")</f>
        <v>20</v>
      </c>
      <c r="F18" s="4">
        <f>Invoice_Data!G18</f>
        <v>360</v>
      </c>
      <c r="G18" s="4">
        <f>IFERROR(INDEX(PO_Data!$E$2:$E$26,MATCH(B18,PO_Data!$A$2:$A$26,0)),"")</f>
        <v>360</v>
      </c>
      <c r="H18" s="4">
        <f>Invoice_Data!H18</f>
        <v>7200</v>
      </c>
      <c r="I18" s="4">
        <f t="shared" si="0"/>
        <v>7200</v>
      </c>
      <c r="J18" s="4">
        <f t="shared" si="1"/>
        <v>0</v>
      </c>
      <c r="K18" s="5" t="str">
        <f>IF(COUNTBLANK(Invoice_Data!A18:H18)&gt;0,"Yes","No")</f>
        <v>No</v>
      </c>
      <c r="L18" s="5" t="str">
        <f>IF(COUNTIFS(Invoice_Data!$A$2:$A$25,Invoice_Data!A18,Invoice_Data!$D$2:$D$25,Invoice_Data!D18,Invoice_Data!$H$2:$H$25,Invoice_Data!H18)&gt;1,"Yes","No")</f>
        <v>No</v>
      </c>
      <c r="M18" s="5" t="str">
        <f t="shared" si="2"/>
        <v>No</v>
      </c>
      <c r="N18" s="5" t="str">
        <f t="shared" si="3"/>
        <v>No</v>
      </c>
      <c r="O18" s="5" t="str">
        <f t="shared" si="4"/>
        <v>No</v>
      </c>
      <c r="P18" s="5" t="str">
        <f t="shared" si="5"/>
        <v>Clean</v>
      </c>
      <c r="Q18" s="5" t="str">
        <f t="shared" si="6"/>
        <v/>
      </c>
      <c r="R18" s="5" t="str">
        <f t="shared" si="7"/>
        <v>N/A</v>
      </c>
      <c r="S18" s="6"/>
    </row>
    <row r="19" spans="1:19" x14ac:dyDescent="0.3">
      <c r="A19" s="5" t="str">
        <f>Invoice_Data!A19</f>
        <v>INV-1018</v>
      </c>
      <c r="B19" s="5" t="str">
        <f>IF(Invoice_Data!D19="","",Invoice_Data!D19)</f>
        <v>PO-5018</v>
      </c>
      <c r="C19" s="5" t="str">
        <f>IF(Invoice_Data!C19="","",Invoice_Data!C19)</f>
        <v>Delhi Stationers</v>
      </c>
      <c r="D19" s="5">
        <f>Invoice_Data!F19</f>
        <v>5</v>
      </c>
      <c r="E19" s="5">
        <f>IFERROR(INDEX(PO_Data!$D$2:$D$26,MATCH(B19,PO_Data!$A$2:$A$26,0)),"")</f>
        <v>5</v>
      </c>
      <c r="F19" s="4">
        <f>Invoice_Data!G19</f>
        <v>1400</v>
      </c>
      <c r="G19" s="4">
        <f>IFERROR(INDEX(PO_Data!$E$2:$E$26,MATCH(B19,PO_Data!$A$2:$A$26,0)),"")</f>
        <v>1250</v>
      </c>
      <c r="H19" s="4">
        <f>Invoice_Data!H19</f>
        <v>7000</v>
      </c>
      <c r="I19" s="4">
        <f t="shared" si="0"/>
        <v>6250</v>
      </c>
      <c r="J19" s="4">
        <f t="shared" si="1"/>
        <v>750</v>
      </c>
      <c r="K19" s="5" t="str">
        <f>IF(COUNTBLANK(Invoice_Data!A19:H19)&gt;0,"Yes","No")</f>
        <v>No</v>
      </c>
      <c r="L19" s="5" t="str">
        <f>IF(COUNTIFS(Invoice_Data!$A$2:$A$25,Invoice_Data!A19,Invoice_Data!$D$2:$D$25,Invoice_Data!D19,Invoice_Data!$H$2:$H$25,Invoice_Data!H19)&gt;1,"Yes","No")</f>
        <v>No</v>
      </c>
      <c r="M19" s="5" t="str">
        <f t="shared" si="2"/>
        <v>No</v>
      </c>
      <c r="N19" s="5" t="str">
        <f t="shared" si="3"/>
        <v>Yes</v>
      </c>
      <c r="O19" s="5" t="str">
        <f t="shared" si="4"/>
        <v>No</v>
      </c>
      <c r="P19" s="5" t="str">
        <f t="shared" si="5"/>
        <v>Exception</v>
      </c>
      <c r="Q19" s="5" t="str">
        <f t="shared" si="6"/>
        <v xml:space="preserve">Price mismatch; </v>
      </c>
      <c r="R19" s="5" t="str">
        <f t="shared" si="7"/>
        <v>Open</v>
      </c>
      <c r="S19" s="6"/>
    </row>
    <row r="20" spans="1:19" x14ac:dyDescent="0.3">
      <c r="A20" s="5" t="str">
        <f>Invoice_Data!A20</f>
        <v>INV-1019</v>
      </c>
      <c r="B20" s="5" t="str">
        <f>IF(Invoice_Data!D20="","",Invoice_Data!D20)</f>
        <v>PO-5019</v>
      </c>
      <c r="C20" s="5" t="str">
        <f>IF(Invoice_Data!C20="","",Invoice_Data!C20)</f>
        <v>Metro IT Solutions</v>
      </c>
      <c r="D20" s="5">
        <f>Invoice_Data!F20</f>
        <v>15</v>
      </c>
      <c r="E20" s="5">
        <f>IFERROR(INDEX(PO_Data!$D$2:$D$26,MATCH(B20,PO_Data!$A$2:$A$26,0)),"")</f>
        <v>10</v>
      </c>
      <c r="F20" s="4">
        <f>Invoice_Data!G20</f>
        <v>780</v>
      </c>
      <c r="G20" s="4">
        <f>IFERROR(INDEX(PO_Data!$E$2:$E$26,MATCH(B20,PO_Data!$A$2:$A$26,0)),"")</f>
        <v>780</v>
      </c>
      <c r="H20" s="4">
        <f>Invoice_Data!H20</f>
        <v>11700</v>
      </c>
      <c r="I20" s="4">
        <f t="shared" si="0"/>
        <v>7800</v>
      </c>
      <c r="J20" s="4">
        <f t="shared" si="1"/>
        <v>3900</v>
      </c>
      <c r="K20" s="5" t="str">
        <f>IF(COUNTBLANK(Invoice_Data!A20:H20)&gt;0,"Yes","No")</f>
        <v>No</v>
      </c>
      <c r="L20" s="5" t="str">
        <f>IF(COUNTIFS(Invoice_Data!$A$2:$A$25,Invoice_Data!A20,Invoice_Data!$D$2:$D$25,Invoice_Data!D20,Invoice_Data!$H$2:$H$25,Invoice_Data!H20)&gt;1,"Yes","No")</f>
        <v>No</v>
      </c>
      <c r="M20" s="5" t="str">
        <f t="shared" si="2"/>
        <v>Yes</v>
      </c>
      <c r="N20" s="5" t="str">
        <f t="shared" si="3"/>
        <v>No</v>
      </c>
      <c r="O20" s="5" t="str">
        <f t="shared" si="4"/>
        <v>No</v>
      </c>
      <c r="P20" s="5" t="str">
        <f t="shared" si="5"/>
        <v>Exception</v>
      </c>
      <c r="Q20" s="5" t="str">
        <f t="shared" si="6"/>
        <v xml:space="preserve">Qty mismatch; </v>
      </c>
      <c r="R20" s="5" t="str">
        <f t="shared" si="7"/>
        <v>Open</v>
      </c>
      <c r="S20" s="6"/>
    </row>
    <row r="21" spans="1:19" x14ac:dyDescent="0.3">
      <c r="A21" s="5" t="str">
        <f>Invoice_Data!A21</f>
        <v>INV-1020</v>
      </c>
      <c r="B21" s="5" t="str">
        <f>IF(Invoice_Data!D21="","",Invoice_Data!D21)</f>
        <v>PO-5020</v>
      </c>
      <c r="C21" s="5" t="str">
        <f>IF(Invoice_Data!C21="","",Invoice_Data!C21)</f>
        <v>Apex Furnishings</v>
      </c>
      <c r="D21" s="5">
        <f>Invoice_Data!F21</f>
        <v>5</v>
      </c>
      <c r="E21" s="5">
        <f>IFERROR(INDEX(PO_Data!$D$2:$D$26,MATCH(B21,PO_Data!$A$2:$A$26,0)),"")</f>
        <v>5</v>
      </c>
      <c r="F21" s="4">
        <f>Invoice_Data!G21</f>
        <v>1150</v>
      </c>
      <c r="G21" s="4">
        <f>IFERROR(INDEX(PO_Data!$E$2:$E$26,MATCH(B21,PO_Data!$A$2:$A$26,0)),"")</f>
        <v>1150</v>
      </c>
      <c r="H21" s="4">
        <f>Invoice_Data!H21</f>
        <v>7550</v>
      </c>
      <c r="I21" s="4">
        <f t="shared" si="0"/>
        <v>5750</v>
      </c>
      <c r="J21" s="4">
        <f t="shared" si="1"/>
        <v>1800</v>
      </c>
      <c r="K21" s="5" t="str">
        <f>IF(COUNTBLANK(Invoice_Data!A21:H21)&gt;0,"Yes","No")</f>
        <v>No</v>
      </c>
      <c r="L21" s="5" t="str">
        <f>IF(COUNTIFS(Invoice_Data!$A$2:$A$25,Invoice_Data!A21,Invoice_Data!$D$2:$D$25,Invoice_Data!D21,Invoice_Data!$H$2:$H$25,Invoice_Data!H21)&gt;1,"Yes","No")</f>
        <v>No</v>
      </c>
      <c r="M21" s="5" t="str">
        <f t="shared" si="2"/>
        <v>No</v>
      </c>
      <c r="N21" s="5" t="str">
        <f t="shared" si="3"/>
        <v>No</v>
      </c>
      <c r="O21" s="5" t="str">
        <f t="shared" si="4"/>
        <v>Yes</v>
      </c>
      <c r="P21" s="5" t="str">
        <f t="shared" si="5"/>
        <v>Exception</v>
      </c>
      <c r="Q21" s="5" t="str">
        <f t="shared" si="6"/>
        <v xml:space="preserve">Total error; </v>
      </c>
      <c r="R21" s="5" t="str">
        <f t="shared" si="7"/>
        <v>Open</v>
      </c>
      <c r="S21" s="6"/>
    </row>
    <row r="22" spans="1:19" x14ac:dyDescent="0.3">
      <c r="A22" s="5" t="str">
        <f>Invoice_Data!A22</f>
        <v>INV-1005</v>
      </c>
      <c r="B22" s="5" t="str">
        <f>IF(Invoice_Data!D22="","",Invoice_Data!D22)</f>
        <v>PO-5005</v>
      </c>
      <c r="C22" s="5" t="str">
        <f>IF(Invoice_Data!C22="","",Invoice_Data!C22)</f>
        <v>Apex Furnishings</v>
      </c>
      <c r="D22" s="5">
        <f>Invoice_Data!F22</f>
        <v>5</v>
      </c>
      <c r="E22" s="5">
        <f>IFERROR(INDEX(PO_Data!$D$2:$D$26,MATCH(B22,PO_Data!$A$2:$A$26,0)),"")</f>
        <v>5</v>
      </c>
      <c r="F22" s="4">
        <f>Invoice_Data!G22</f>
        <v>2950</v>
      </c>
      <c r="G22" s="4">
        <f>IFERROR(INDEX(PO_Data!$E$2:$E$26,MATCH(B22,PO_Data!$A$2:$A$26,0)),"")</f>
        <v>2950</v>
      </c>
      <c r="H22" s="4">
        <f>Invoice_Data!H22</f>
        <v>14750</v>
      </c>
      <c r="I22" s="4">
        <f t="shared" si="0"/>
        <v>14750</v>
      </c>
      <c r="J22" s="4">
        <f t="shared" si="1"/>
        <v>0</v>
      </c>
      <c r="K22" s="5" t="str">
        <f>IF(COUNTBLANK(Invoice_Data!A22:H22)&gt;0,"Yes","No")</f>
        <v>No</v>
      </c>
      <c r="L22" s="5" t="str">
        <f>IF(COUNTIFS(Invoice_Data!$A$2:$A$25,Invoice_Data!A22,Invoice_Data!$D$2:$D$25,Invoice_Data!D22,Invoice_Data!$H$2:$H$25,Invoice_Data!H22)&gt;1,"Yes","No")</f>
        <v>Yes</v>
      </c>
      <c r="M22" s="5" t="str">
        <f t="shared" si="2"/>
        <v>No</v>
      </c>
      <c r="N22" s="5" t="str">
        <f t="shared" si="3"/>
        <v>No</v>
      </c>
      <c r="O22" s="5" t="str">
        <f t="shared" si="4"/>
        <v>No</v>
      </c>
      <c r="P22" s="5" t="str">
        <f t="shared" si="5"/>
        <v>Exception</v>
      </c>
      <c r="Q22" s="5" t="str">
        <f t="shared" si="6"/>
        <v xml:space="preserve">Duplicate; </v>
      </c>
      <c r="R22" s="5" t="str">
        <f t="shared" si="7"/>
        <v>Open</v>
      </c>
      <c r="S22" s="6"/>
    </row>
    <row r="23" spans="1:19" x14ac:dyDescent="0.3">
      <c r="A23" s="5" t="str">
        <f>Invoice_Data!A23</f>
        <v>INV-1022</v>
      </c>
      <c r="B23" s="5" t="str">
        <f>IF(Invoice_Data!D23="","",Invoice_Data!D23)</f>
        <v/>
      </c>
      <c r="C23" s="5" t="str">
        <f>IF(Invoice_Data!C23="","",Invoice_Data!C23)</f>
        <v>Sharma Office Supplies</v>
      </c>
      <c r="D23" s="5">
        <f>Invoice_Data!F23</f>
        <v>25</v>
      </c>
      <c r="E23" s="5" t="str">
        <f>IFERROR(INDEX(PO_Data!$D$2:$D$26,MATCH(B23,PO_Data!$A$2:$A$26,0)),"")</f>
        <v/>
      </c>
      <c r="F23" s="4">
        <f>Invoice_Data!G23</f>
        <v>285</v>
      </c>
      <c r="G23" s="4" t="str">
        <f>IFERROR(INDEX(PO_Data!$E$2:$E$26,MATCH(B23,PO_Data!$A$2:$A$26,0)),"")</f>
        <v/>
      </c>
      <c r="H23" s="4">
        <f>Invoice_Data!H23</f>
        <v>7125</v>
      </c>
      <c r="I23" s="4" t="str">
        <f t="shared" si="0"/>
        <v/>
      </c>
      <c r="J23" s="4" t="str">
        <f t="shared" si="1"/>
        <v/>
      </c>
      <c r="K23" s="5" t="str">
        <f>IF(COUNTBLANK(Invoice_Data!A23:H23)&gt;0,"Yes","No")</f>
        <v>Yes</v>
      </c>
      <c r="L23" s="5" t="str">
        <f>IF(COUNTIFS(Invoice_Data!$A$2:$A$25,Invoice_Data!A23,Invoice_Data!$D$2:$D$25,Invoice_Data!D23,Invoice_Data!$H$2:$H$25,Invoice_Data!H23)&gt;1,"Yes","No")</f>
        <v>No</v>
      </c>
      <c r="M23" s="5" t="str">
        <f t="shared" si="2"/>
        <v>N/A</v>
      </c>
      <c r="N23" s="5" t="str">
        <f t="shared" si="3"/>
        <v>N/A</v>
      </c>
      <c r="O23" s="5" t="str">
        <f t="shared" si="4"/>
        <v>No</v>
      </c>
      <c r="P23" s="5" t="str">
        <f t="shared" si="5"/>
        <v>Missing PO</v>
      </c>
      <c r="Q23" s="5" t="str">
        <f t="shared" si="6"/>
        <v xml:space="preserve">Missing field; </v>
      </c>
      <c r="R23" s="5" t="str">
        <f t="shared" si="7"/>
        <v>Open</v>
      </c>
      <c r="S23" s="6"/>
    </row>
    <row r="24" spans="1:19" x14ac:dyDescent="0.3">
      <c r="A24" s="5" t="str">
        <f>Invoice_Data!A24</f>
        <v>INV-1023</v>
      </c>
      <c r="B24" s="5" t="str">
        <f>IF(Invoice_Data!D24="","",Invoice_Data!D24)</f>
        <v>PO-5021</v>
      </c>
      <c r="C24" s="5" t="str">
        <f>IF(Invoice_Data!C24="","",Invoice_Data!C24)</f>
        <v/>
      </c>
      <c r="D24" s="5">
        <f>Invoice_Data!F24</f>
        <v>25</v>
      </c>
      <c r="E24" s="5">
        <f>IFERROR(INDEX(PO_Data!$D$2:$D$26,MATCH(B24,PO_Data!$A$2:$A$26,0)),"")</f>
        <v>25</v>
      </c>
      <c r="F24" s="4">
        <f>Invoice_Data!G24</f>
        <v>285</v>
      </c>
      <c r="G24" s="4">
        <f>IFERROR(INDEX(PO_Data!$E$2:$E$26,MATCH(B24,PO_Data!$A$2:$A$26,0)),"")</f>
        <v>285</v>
      </c>
      <c r="H24" s="4">
        <f>Invoice_Data!H24</f>
        <v>7125</v>
      </c>
      <c r="I24" s="4">
        <f t="shared" si="0"/>
        <v>7125</v>
      </c>
      <c r="J24" s="4">
        <f t="shared" si="1"/>
        <v>0</v>
      </c>
      <c r="K24" s="5" t="str">
        <f>IF(COUNTBLANK(Invoice_Data!A24:H24)&gt;0,"Yes","No")</f>
        <v>Yes</v>
      </c>
      <c r="L24" s="5" t="str">
        <f>IF(COUNTIFS(Invoice_Data!$A$2:$A$25,Invoice_Data!A24,Invoice_Data!$D$2:$D$25,Invoice_Data!D24,Invoice_Data!$H$2:$H$25,Invoice_Data!H24)&gt;1,"Yes","No")</f>
        <v>No</v>
      </c>
      <c r="M24" s="5" t="str">
        <f t="shared" si="2"/>
        <v>No</v>
      </c>
      <c r="N24" s="5" t="str">
        <f t="shared" si="3"/>
        <v>No</v>
      </c>
      <c r="O24" s="5" t="str">
        <f t="shared" si="4"/>
        <v>No</v>
      </c>
      <c r="P24" s="5" t="str">
        <f t="shared" si="5"/>
        <v>Exception</v>
      </c>
      <c r="Q24" s="5" t="str">
        <f t="shared" si="6"/>
        <v xml:space="preserve">Missing field; </v>
      </c>
      <c r="R24" s="5" t="str">
        <f t="shared" si="7"/>
        <v>Open</v>
      </c>
      <c r="S24" s="6"/>
    </row>
    <row r="25" spans="1:19" x14ac:dyDescent="0.3">
      <c r="A25" s="5" t="str">
        <f>Invoice_Data!A25</f>
        <v>INV-1024</v>
      </c>
      <c r="B25" s="5" t="str">
        <f>IF(Invoice_Data!D25="","",Invoice_Data!D25)</f>
        <v>PO-9999</v>
      </c>
      <c r="C25" s="5" t="str">
        <f>IF(Invoice_Data!C25="","",Invoice_Data!C25)</f>
        <v>TechNova Traders</v>
      </c>
      <c r="D25" s="5">
        <f>Invoice_Data!F25</f>
        <v>20</v>
      </c>
      <c r="E25" s="5" t="str">
        <f>IFERROR(INDEX(PO_Data!$D$2:$D$26,MATCH(B25,PO_Data!$A$2:$A$26,0)),"")</f>
        <v/>
      </c>
      <c r="F25" s="4">
        <f>Invoice_Data!G25</f>
        <v>3450</v>
      </c>
      <c r="G25" s="4" t="str">
        <f>IFERROR(INDEX(PO_Data!$E$2:$E$26,MATCH(B25,PO_Data!$A$2:$A$26,0)),"")</f>
        <v/>
      </c>
      <c r="H25" s="4">
        <f>Invoice_Data!H25</f>
        <v>69000</v>
      </c>
      <c r="I25" s="4" t="str">
        <f t="shared" si="0"/>
        <v/>
      </c>
      <c r="J25" s="4" t="str">
        <f t="shared" si="1"/>
        <v/>
      </c>
      <c r="K25" s="5" t="str">
        <f>IF(COUNTBLANK(Invoice_Data!A25:H25)&gt;0,"Yes","No")</f>
        <v>No</v>
      </c>
      <c r="L25" s="5" t="str">
        <f>IF(COUNTIFS(Invoice_Data!$A$2:$A$25,Invoice_Data!A25,Invoice_Data!$D$2:$D$25,Invoice_Data!D25,Invoice_Data!$H$2:$H$25,Invoice_Data!H25)&gt;1,"Yes","No")</f>
        <v>No</v>
      </c>
      <c r="M25" s="5" t="str">
        <f t="shared" si="2"/>
        <v>N/A</v>
      </c>
      <c r="N25" s="5" t="str">
        <f t="shared" si="3"/>
        <v>N/A</v>
      </c>
      <c r="O25" s="5" t="str">
        <f t="shared" si="4"/>
        <v>No</v>
      </c>
      <c r="P25" s="5" t="str">
        <f t="shared" si="5"/>
        <v>PO Not Found</v>
      </c>
      <c r="Q25" s="5" t="str">
        <f t="shared" si="6"/>
        <v xml:space="preserve">PO not in PO_Data; </v>
      </c>
      <c r="R25" s="5" t="str">
        <f t="shared" si="7"/>
        <v>Open</v>
      </c>
      <c r="S25" s="6"/>
    </row>
  </sheetData>
  <conditionalFormatting sqref="K2:O25">
    <cfRule type="cellIs" dxfId="2" priority="2" operator="equal">
      <formula>"Yes"</formula>
    </cfRule>
  </conditionalFormatting>
  <conditionalFormatting sqref="P2:P25">
    <cfRule type="cellIs" dxfId="1" priority="3" operator="equal">
      <formula>"Clean"</formula>
    </cfRule>
    <cfRule type="cellIs" dxfId="0" priority="4" operator="notEqual">
      <formula>"Clean"</formula>
    </cfRule>
  </conditionalFormatting>
  <dataValidations count="1">
    <dataValidation type="list" allowBlank="1" sqref="R2:R25" xr:uid="{00000000-0002-0000-0300-000000000000}">
      <formula1>"Open,Under Review,Resolved,N/A"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2"/>
  <sheetViews>
    <sheetView tabSelected="1" zoomScaleNormal="100" workbookViewId="0">
      <selection activeCell="F9" sqref="F9"/>
    </sheetView>
  </sheetViews>
  <sheetFormatPr defaultColWidth="8.6640625" defaultRowHeight="14.4" x14ac:dyDescent="0.3"/>
  <cols>
    <col min="1" max="1" width="30" customWidth="1"/>
    <col min="2" max="2" width="18" customWidth="1"/>
  </cols>
  <sheetData>
    <row r="1" spans="1:2" ht="17.399999999999999" x14ac:dyDescent="0.3">
      <c r="A1" s="22" t="s">
        <v>115</v>
      </c>
    </row>
    <row r="3" spans="1:2" x14ac:dyDescent="0.3">
      <c r="A3" s="18" t="s">
        <v>116</v>
      </c>
      <c r="B3" s="18">
        <f>COUNTA(Verification!A2:A25)</f>
        <v>24</v>
      </c>
    </row>
    <row r="4" spans="1:2" x14ac:dyDescent="0.3">
      <c r="A4" s="18" t="s">
        <v>117</v>
      </c>
      <c r="B4" s="18">
        <f>COUNTIF(Verification!P2:P25,"Clean")</f>
        <v>16</v>
      </c>
    </row>
    <row r="5" spans="1:2" x14ac:dyDescent="0.3">
      <c r="A5" s="18" t="s">
        <v>118</v>
      </c>
      <c r="B5" s="18">
        <f>B3-B4</f>
        <v>8</v>
      </c>
    </row>
    <row r="6" spans="1:2" x14ac:dyDescent="0.3">
      <c r="A6" s="18" t="s">
        <v>119</v>
      </c>
      <c r="B6" s="19">
        <f>IF(B3=0,0,B5/B3)</f>
        <v>0.33333333333333331</v>
      </c>
    </row>
    <row r="7" spans="1:2" x14ac:dyDescent="0.3">
      <c r="A7" s="18"/>
      <c r="B7" s="20"/>
    </row>
    <row r="8" spans="1:2" x14ac:dyDescent="0.3">
      <c r="A8" s="18" t="s">
        <v>120</v>
      </c>
      <c r="B8" s="18">
        <f>COUNTIF(Verification!K2:K25,"Yes")</f>
        <v>2</v>
      </c>
    </row>
    <row r="9" spans="1:2" x14ac:dyDescent="0.3">
      <c r="A9" s="18" t="s">
        <v>121</v>
      </c>
      <c r="B9" s="18">
        <f>COUNTIF(Verification!L2:L25,"Yes")</f>
        <v>2</v>
      </c>
    </row>
    <row r="10" spans="1:2" x14ac:dyDescent="0.3">
      <c r="A10" s="18" t="s">
        <v>122</v>
      </c>
      <c r="B10" s="18">
        <f>COUNTIF(Verification!M2:M25,"Yes")</f>
        <v>1</v>
      </c>
    </row>
    <row r="11" spans="1:2" x14ac:dyDescent="0.3">
      <c r="A11" s="18" t="s">
        <v>123</v>
      </c>
      <c r="B11" s="18">
        <f>COUNTIF(Verification!N2:N25,"Yes")</f>
        <v>1</v>
      </c>
    </row>
    <row r="12" spans="1:2" x14ac:dyDescent="0.3">
      <c r="A12" s="18" t="s">
        <v>124</v>
      </c>
      <c r="B12" s="18">
        <f>COUNTIF(Verification!O2:O25,"Yes")</f>
        <v>1</v>
      </c>
    </row>
    <row r="13" spans="1:2" x14ac:dyDescent="0.3">
      <c r="A13" s="18" t="s">
        <v>125</v>
      </c>
      <c r="B13" s="18">
        <f>COUNTIF(Verification!P2:P25,"PO Not Found")+COUNTIF(Verification!P2:P25,"Missing PO")</f>
        <v>2</v>
      </c>
    </row>
    <row r="14" spans="1:2" x14ac:dyDescent="0.3">
      <c r="A14" s="18"/>
      <c r="B14" s="20"/>
    </row>
    <row r="15" spans="1:2" x14ac:dyDescent="0.3">
      <c r="A15" s="18" t="s">
        <v>126</v>
      </c>
      <c r="B15" s="21">
        <f>SUMIF(Verification!I2:I25,"&gt;=0",Verification!H2:H25)</f>
        <v>827380</v>
      </c>
    </row>
    <row r="16" spans="1:2" x14ac:dyDescent="0.3">
      <c r="A16" s="18" t="s">
        <v>127</v>
      </c>
      <c r="B16" s="21">
        <f>SUM(Verification!I2:I25)</f>
        <v>820930</v>
      </c>
    </row>
    <row r="17" spans="1:2" x14ac:dyDescent="0.3">
      <c r="A17" s="18" t="s">
        <v>128</v>
      </c>
      <c r="B17" s="21">
        <f>SUMIF(Verification!J2:J25,"&gt;0")</f>
        <v>6450</v>
      </c>
    </row>
    <row r="18" spans="1:2" x14ac:dyDescent="0.3">
      <c r="A18" s="18" t="s">
        <v>129</v>
      </c>
      <c r="B18" s="21">
        <f>SUMIF(Verification!J2:J25,"&lt;0")</f>
        <v>0</v>
      </c>
    </row>
    <row r="19" spans="1:2" x14ac:dyDescent="0.3">
      <c r="A19" s="18" t="s">
        <v>130</v>
      </c>
      <c r="B19" s="21">
        <f>B17+B18</f>
        <v>6450</v>
      </c>
    </row>
    <row r="20" spans="1:2" x14ac:dyDescent="0.3">
      <c r="A20" s="18"/>
      <c r="B20" s="20"/>
    </row>
    <row r="21" spans="1:2" x14ac:dyDescent="0.3">
      <c r="A21" s="18" t="s">
        <v>131</v>
      </c>
      <c r="B21" s="18">
        <f>COUNTIF(Verification!R2:R25,"Open")</f>
        <v>8</v>
      </c>
    </row>
    <row r="22" spans="1:2" x14ac:dyDescent="0.3">
      <c r="A22" s="18" t="s">
        <v>132</v>
      </c>
      <c r="B22" s="18">
        <f>COUNTIF(Verification!R2:R25,"Resolved")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</vt:lpstr>
      <vt:lpstr>PO_Data</vt:lpstr>
      <vt:lpstr>Invoice_Data</vt:lpstr>
      <vt:lpstr>Verification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Jatin Gusain</cp:lastModifiedBy>
  <cp:revision>0</cp:revision>
  <dcterms:created xsi:type="dcterms:W3CDTF">2026-10-01T03:14:07Z</dcterms:created>
  <dcterms:modified xsi:type="dcterms:W3CDTF">2026-10-01T07:08:50Z</dcterms:modified>
  <dc:language>en-US</dc:language>
</cp:coreProperties>
</file>